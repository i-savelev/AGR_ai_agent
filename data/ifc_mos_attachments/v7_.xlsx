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BIM-Ресурсы\IFC\IFC Parameters - список параметров XLS\260406 Параметры с кодами МССК\"/>
    </mc:Choice>
  </mc:AlternateContent>
  <xr:revisionPtr revIDLastSave="0" documentId="13_ncr:1_{7B0499D1-1D6C-4D34-9550-920958FF528F}" xr6:coauthVersionLast="47" xr6:coauthVersionMax="47" xr10:uidLastSave="{00000000-0000-0000-0000-000000000000}"/>
  <bookViews>
    <workbookView xWindow="-120" yWindow="-120" windowWidth="29040" windowHeight="15720" tabRatio="871" xr2:uid="{7F20C197-058A-459B-BBFF-C03FE72D147F}"/>
  </bookViews>
  <sheets>
    <sheet name="СВОД" sheetId="2" r:id="rId1"/>
    <sheet name="СТ_Эл." sheetId="3" r:id="rId2"/>
    <sheet name="СТ_Атр." sheetId="5" r:id="rId3"/>
    <sheet name="СТ_Наб.Атр." sheetId="4" r:id="rId4"/>
    <sheet name="СТ_Наб.Атр (кратко)" sheetId="7" r:id="rId5"/>
    <sheet name="СТ_МССК" sheetId="8" r:id="rId6"/>
    <sheet name="МССК_СВОД" sheetId="9" r:id="rId7"/>
    <sheet name="МССК-5 (Пом.)" sheetId="10" r:id="rId8"/>
    <sheet name="МССК-7 (Эл.)" sheetId="11" r:id="rId9"/>
    <sheet name="МССК-8 (Мат.)" sheetId="12" r:id="rId10"/>
  </sheets>
  <definedNames>
    <definedName name="_xlnm._FilterDatabase" localSheetId="7" hidden="1">'МССК-5 (Пом.)'!$A$2:$D$641</definedName>
    <definedName name="_xlnm._FilterDatabase" localSheetId="8" hidden="1">'МССК-7 (Эл.)'!$A$2:$F$944</definedName>
    <definedName name="_xlnm._FilterDatabase" localSheetId="9" hidden="1">'МССК-8 (Мат.)'!$A$2:$G$2</definedName>
    <definedName name="_xlnm._FilterDatabase" localSheetId="0" hidden="1">СВОД!$A$1:$O$145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9" l="1"/>
  <c r="E76" i="9" s="1"/>
  <c r="F76" i="9" s="1"/>
  <c r="C76" i="9"/>
  <c r="D75" i="9"/>
  <c r="E75" i="9" s="1"/>
  <c r="F75" i="9" s="1"/>
  <c r="C75" i="9"/>
  <c r="D69" i="9"/>
  <c r="E69" i="9" s="1"/>
  <c r="F69" i="9" s="1"/>
  <c r="C69" i="9"/>
  <c r="D68" i="9"/>
  <c r="C68" i="9"/>
  <c r="D67" i="9"/>
  <c r="C67" i="9"/>
  <c r="D70" i="9"/>
  <c r="C70" i="9"/>
  <c r="D74" i="9"/>
  <c r="E74" i="9" s="1"/>
  <c r="F74" i="9" s="1"/>
  <c r="C74" i="9"/>
  <c r="D73" i="9"/>
  <c r="C73" i="9"/>
  <c r="D72" i="9"/>
  <c r="C72" i="9"/>
  <c r="D71" i="9"/>
  <c r="C71" i="9"/>
  <c r="D31" i="9"/>
  <c r="E31" i="9" s="1"/>
  <c r="F31" i="9" s="1"/>
  <c r="C31" i="9"/>
  <c r="C109" i="9"/>
  <c r="D109" i="9"/>
  <c r="E109" i="9" s="1"/>
  <c r="F109" i="9" s="1"/>
  <c r="C110" i="9"/>
  <c r="D110" i="9"/>
  <c r="E110" i="9" s="1"/>
  <c r="F110" i="9" s="1"/>
  <c r="C111" i="9"/>
  <c r="D111" i="9"/>
  <c r="E111" i="9" s="1"/>
  <c r="F111" i="9" s="1"/>
  <c r="C112" i="9"/>
  <c r="D112" i="9"/>
  <c r="E112" i="9" s="1"/>
  <c r="F112" i="9" s="1"/>
  <c r="C113" i="9"/>
  <c r="D113" i="9"/>
  <c r="E113" i="9" s="1"/>
  <c r="F113" i="9" s="1"/>
  <c r="C114" i="9"/>
  <c r="D114" i="9"/>
  <c r="E114" i="9" s="1"/>
  <c r="F114" i="9" s="1"/>
  <c r="C115" i="9"/>
  <c r="D115" i="9"/>
  <c r="E115" i="9" s="1"/>
  <c r="F115" i="9" s="1"/>
  <c r="C116" i="9"/>
  <c r="D116" i="9"/>
  <c r="E116" i="9" s="1"/>
  <c r="F116" i="9" s="1"/>
  <c r="C117" i="9"/>
  <c r="D117" i="9"/>
  <c r="E117" i="9" s="1"/>
  <c r="F117" i="9" s="1"/>
  <c r="C118" i="9"/>
  <c r="D118" i="9"/>
  <c r="E118" i="9" s="1"/>
  <c r="F118" i="9" s="1"/>
  <c r="C119" i="9"/>
  <c r="D119" i="9"/>
  <c r="E119" i="9" s="1"/>
  <c r="F119" i="9" s="1"/>
  <c r="C120" i="9"/>
  <c r="D120" i="9"/>
  <c r="E120" i="9" s="1"/>
  <c r="F120" i="9" s="1"/>
  <c r="C121" i="9"/>
  <c r="D121" i="9"/>
  <c r="E121" i="9" s="1"/>
  <c r="F121" i="9" s="1"/>
  <c r="C122" i="9"/>
  <c r="D122" i="9"/>
  <c r="E122" i="9" s="1"/>
  <c r="F122" i="9" s="1"/>
  <c r="C123" i="9"/>
  <c r="D123" i="9"/>
  <c r="E123" i="9" s="1"/>
  <c r="F123" i="9" s="1"/>
  <c r="C124" i="9"/>
  <c r="D124" i="9"/>
  <c r="E124" i="9" s="1"/>
  <c r="F124" i="9" s="1"/>
  <c r="C125" i="9"/>
  <c r="D125" i="9"/>
  <c r="E125" i="9" s="1"/>
  <c r="F125" i="9" s="1"/>
  <c r="C126" i="9"/>
  <c r="D126" i="9"/>
  <c r="E126" i="9" s="1"/>
  <c r="F126" i="9" s="1"/>
  <c r="C127" i="9"/>
  <c r="D127" i="9"/>
  <c r="E127" i="9" s="1"/>
  <c r="F127" i="9" s="1"/>
  <c r="C128" i="9"/>
  <c r="D128" i="9"/>
  <c r="E128" i="9" s="1"/>
  <c r="F128" i="9" s="1"/>
  <c r="C129" i="9"/>
  <c r="D129" i="9"/>
  <c r="E129" i="9" s="1"/>
  <c r="F129" i="9" s="1"/>
  <c r="C130" i="9"/>
  <c r="D130" i="9"/>
  <c r="E130" i="9" s="1"/>
  <c r="F130" i="9" s="1"/>
  <c r="C131" i="9"/>
  <c r="D131" i="9"/>
  <c r="E131" i="9" s="1"/>
  <c r="F131" i="9" s="1"/>
  <c r="C132" i="9"/>
  <c r="D132" i="9"/>
  <c r="E132" i="9" s="1"/>
  <c r="F132" i="9" s="1"/>
  <c r="C133" i="9"/>
  <c r="D133" i="9"/>
  <c r="E133" i="9" s="1"/>
  <c r="F133" i="9" s="1"/>
  <c r="C83" i="9"/>
  <c r="D83" i="9"/>
  <c r="E83" i="9" s="1"/>
  <c r="F83" i="9" s="1"/>
  <c r="C84" i="9"/>
  <c r="D84" i="9"/>
  <c r="E84" i="9" s="1"/>
  <c r="F84" i="9" s="1"/>
  <c r="C85" i="9"/>
  <c r="D85" i="9"/>
  <c r="E85" i="9" s="1"/>
  <c r="F85" i="9" s="1"/>
  <c r="C86" i="9"/>
  <c r="D86" i="9"/>
  <c r="E86" i="9" s="1"/>
  <c r="F86" i="9" s="1"/>
  <c r="C87" i="9"/>
  <c r="D87" i="9"/>
  <c r="E87" i="9" s="1"/>
  <c r="F87" i="9" s="1"/>
  <c r="C88" i="9"/>
  <c r="D88" i="9"/>
  <c r="E88" i="9" s="1"/>
  <c r="F88" i="9" s="1"/>
  <c r="C89" i="9"/>
  <c r="D89" i="9"/>
  <c r="E89" i="9" s="1"/>
  <c r="F89" i="9" s="1"/>
  <c r="C90" i="9"/>
  <c r="D90" i="9"/>
  <c r="E90" i="9" s="1"/>
  <c r="F90" i="9" s="1"/>
  <c r="C91" i="9"/>
  <c r="D91" i="9"/>
  <c r="E91" i="9" s="1"/>
  <c r="F91" i="9" s="1"/>
  <c r="C92" i="9"/>
  <c r="D92" i="9"/>
  <c r="E92" i="9" s="1"/>
  <c r="F92" i="9" s="1"/>
  <c r="C93" i="9"/>
  <c r="D93" i="9"/>
  <c r="E93" i="9" s="1"/>
  <c r="F93" i="9" s="1"/>
  <c r="C94" i="9"/>
  <c r="D94" i="9"/>
  <c r="E94" i="9" s="1"/>
  <c r="F94" i="9" s="1"/>
  <c r="C95" i="9"/>
  <c r="D95" i="9"/>
  <c r="E95" i="9" s="1"/>
  <c r="F95" i="9" s="1"/>
  <c r="C96" i="9"/>
  <c r="D96" i="9"/>
  <c r="E96" i="9" s="1"/>
  <c r="F96" i="9" s="1"/>
  <c r="C97" i="9"/>
  <c r="D97" i="9"/>
  <c r="E97" i="9" s="1"/>
  <c r="F97" i="9" s="1"/>
  <c r="C98" i="9"/>
  <c r="D98" i="9"/>
  <c r="E98" i="9" s="1"/>
  <c r="F98" i="9" s="1"/>
  <c r="C99" i="9"/>
  <c r="D99" i="9"/>
  <c r="E99" i="9" s="1"/>
  <c r="F99" i="9" s="1"/>
  <c r="C100" i="9"/>
  <c r="D100" i="9"/>
  <c r="E100" i="9" s="1"/>
  <c r="F100" i="9" s="1"/>
  <c r="C101" i="9"/>
  <c r="D101" i="9"/>
  <c r="E101" i="9" s="1"/>
  <c r="F101" i="9" s="1"/>
  <c r="C102" i="9"/>
  <c r="D102" i="9"/>
  <c r="E102" i="9" s="1"/>
  <c r="F102" i="9" s="1"/>
  <c r="C103" i="9"/>
  <c r="D103" i="9"/>
  <c r="E103" i="9" s="1"/>
  <c r="F103" i="9" s="1"/>
  <c r="C104" i="9"/>
  <c r="D104" i="9"/>
  <c r="E104" i="9" s="1"/>
  <c r="F104" i="9" s="1"/>
  <c r="C105" i="9"/>
  <c r="D105" i="9"/>
  <c r="E105" i="9" s="1"/>
  <c r="F105" i="9" s="1"/>
  <c r="C106" i="9"/>
  <c r="D106" i="9"/>
  <c r="E106" i="9" s="1"/>
  <c r="F106" i="9" s="1"/>
  <c r="C107" i="9"/>
  <c r="D107" i="9"/>
  <c r="E107" i="9" s="1"/>
  <c r="F107" i="9" s="1"/>
  <c r="C108" i="9"/>
  <c r="D108" i="9"/>
  <c r="E108" i="9" s="1"/>
  <c r="F108" i="9" s="1"/>
  <c r="D82" i="9"/>
  <c r="C82" i="9"/>
  <c r="D3" i="9"/>
  <c r="C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E16" i="9" s="1"/>
  <c r="F16" i="9" s="1"/>
  <c r="C17" i="9"/>
  <c r="D17" i="9"/>
  <c r="E17" i="9" s="1"/>
  <c r="F17" i="9" s="1"/>
  <c r="C18" i="9"/>
  <c r="D18" i="9"/>
  <c r="C19" i="9"/>
  <c r="D19" i="9"/>
  <c r="E19" i="9" s="1"/>
  <c r="F19" i="9" s="1"/>
  <c r="C20" i="9"/>
  <c r="D20" i="9"/>
  <c r="E20" i="9" s="1"/>
  <c r="F20" i="9" s="1"/>
  <c r="C21" i="9"/>
  <c r="D21" i="9"/>
  <c r="E21" i="9" s="1"/>
  <c r="F21" i="9" s="1"/>
  <c r="C22" i="9"/>
  <c r="D22" i="9"/>
  <c r="E22" i="9" s="1"/>
  <c r="F22" i="9" s="1"/>
  <c r="C23" i="9"/>
  <c r="D23" i="9"/>
  <c r="C24" i="9"/>
  <c r="D24" i="9"/>
  <c r="E24" i="9" s="1"/>
  <c r="F24" i="9" s="1"/>
  <c r="C25" i="9"/>
  <c r="D25" i="9"/>
  <c r="E25" i="9" s="1"/>
  <c r="F25" i="9" s="1"/>
  <c r="C26" i="9"/>
  <c r="D26" i="9"/>
  <c r="C27" i="9"/>
  <c r="D27" i="9"/>
  <c r="C28" i="9"/>
  <c r="D28" i="9"/>
  <c r="E28" i="9" s="1"/>
  <c r="F28" i="9" s="1"/>
  <c r="C29" i="9"/>
  <c r="D29" i="9"/>
  <c r="E29" i="9" s="1"/>
  <c r="F29" i="9" s="1"/>
  <c r="C30" i="9"/>
  <c r="D30" i="9"/>
  <c r="E30" i="9" s="1"/>
  <c r="F30" i="9" s="1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C45" i="9"/>
  <c r="D45" i="9"/>
  <c r="C46" i="9"/>
  <c r="D46" i="9"/>
  <c r="C47" i="9"/>
  <c r="D47" i="9"/>
  <c r="C48" i="9"/>
  <c r="D48" i="9"/>
  <c r="C49" i="9"/>
  <c r="D49" i="9"/>
  <c r="C50" i="9"/>
  <c r="D50" i="9"/>
  <c r="C51" i="9"/>
  <c r="D51" i="9"/>
  <c r="C52" i="9"/>
  <c r="D52" i="9"/>
  <c r="C53" i="9"/>
  <c r="D53" i="9"/>
  <c r="C54" i="9"/>
  <c r="D54" i="9"/>
  <c r="C55" i="9"/>
  <c r="D55" i="9"/>
  <c r="C56" i="9"/>
  <c r="D56" i="9"/>
  <c r="C57" i="9"/>
  <c r="D57" i="9"/>
  <c r="C58" i="9"/>
  <c r="D58" i="9"/>
  <c r="C59" i="9"/>
  <c r="D59" i="9"/>
  <c r="C60" i="9"/>
  <c r="D60" i="9"/>
  <c r="C61" i="9"/>
  <c r="D61" i="9"/>
  <c r="E61" i="9" s="1"/>
  <c r="F61" i="9" s="1"/>
  <c r="E68" i="9" l="1"/>
  <c r="F68" i="9" s="1"/>
  <c r="E67" i="9"/>
  <c r="F67" i="9" s="1"/>
  <c r="E50" i="9"/>
  <c r="F50" i="9" s="1"/>
  <c r="E53" i="9"/>
  <c r="F53" i="9" s="1"/>
  <c r="E71" i="9"/>
  <c r="F71" i="9" s="1"/>
  <c r="E70" i="9"/>
  <c r="F70" i="9" s="1"/>
  <c r="E73" i="9"/>
  <c r="F73" i="9" s="1"/>
  <c r="E72" i="9"/>
  <c r="F72" i="9" s="1"/>
  <c r="E45" i="9"/>
  <c r="F45" i="9" s="1"/>
  <c r="E40" i="9"/>
  <c r="F40" i="9" s="1"/>
  <c r="E32" i="9"/>
  <c r="F32" i="9" s="1"/>
  <c r="E23" i="9"/>
  <c r="F23" i="9" s="1"/>
  <c r="E15" i="9"/>
  <c r="F15" i="9" s="1"/>
  <c r="E7" i="9"/>
  <c r="F7" i="9" s="1"/>
  <c r="E46" i="9"/>
  <c r="F46" i="9" s="1"/>
  <c r="E5" i="9"/>
  <c r="F5" i="9" s="1"/>
  <c r="E82" i="9"/>
  <c r="F82" i="9" s="1"/>
  <c r="E39" i="9"/>
  <c r="E14" i="9"/>
  <c r="F14" i="9" s="1"/>
  <c r="E6" i="9"/>
  <c r="F6" i="9" s="1"/>
  <c r="E38" i="9"/>
  <c r="F38" i="9" s="1"/>
  <c r="E13" i="9"/>
  <c r="F13" i="9" s="1"/>
  <c r="E37" i="9"/>
  <c r="F37" i="9" s="1"/>
  <c r="E12" i="9"/>
  <c r="F12" i="9" s="1"/>
  <c r="E4" i="9"/>
  <c r="F4" i="9" s="1"/>
  <c r="E57" i="9"/>
  <c r="F57" i="9" s="1"/>
  <c r="E49" i="9"/>
  <c r="F49" i="9" s="1"/>
  <c r="E41" i="9"/>
  <c r="F41" i="9" s="1"/>
  <c r="E33" i="9"/>
  <c r="F33" i="9" s="1"/>
  <c r="E8" i="9"/>
  <c r="F8" i="9" s="1"/>
  <c r="E18" i="9"/>
  <c r="F18" i="9" s="1"/>
  <c r="E60" i="9"/>
  <c r="F60" i="9" s="1"/>
  <c r="E52" i="9"/>
  <c r="F52" i="9" s="1"/>
  <c r="E44" i="9"/>
  <c r="F44" i="9" s="1"/>
  <c r="E59" i="9"/>
  <c r="F59" i="9" s="1"/>
  <c r="E34" i="9"/>
  <c r="F34" i="9" s="1"/>
  <c r="E51" i="9"/>
  <c r="F51" i="9" s="1"/>
  <c r="E58" i="9"/>
  <c r="F58" i="9" s="1"/>
  <c r="E56" i="9"/>
  <c r="F56" i="9" s="1"/>
  <c r="E43" i="9"/>
  <c r="F43" i="9" s="1"/>
  <c r="E35" i="9"/>
  <c r="F35" i="9" s="1"/>
  <c r="E26" i="9"/>
  <c r="F26" i="9" s="1"/>
  <c r="E54" i="9"/>
  <c r="F54" i="9" s="1"/>
  <c r="E36" i="9"/>
  <c r="F36" i="9" s="1"/>
  <c r="E27" i="9"/>
  <c r="F27" i="9" s="1"/>
  <c r="E11" i="9"/>
  <c r="F11" i="9" s="1"/>
  <c r="E48" i="9"/>
  <c r="F48" i="9" s="1"/>
  <c r="E55" i="9"/>
  <c r="F55" i="9" s="1"/>
  <c r="E47" i="9"/>
  <c r="F47" i="9" s="1"/>
  <c r="E10" i="9"/>
  <c r="F10" i="9" s="1"/>
  <c r="E42" i="9"/>
  <c r="F42" i="9" s="1"/>
  <c r="E9" i="9"/>
  <c r="F9" i="9" s="1"/>
  <c r="E3" i="9"/>
  <c r="F3" i="9" s="1"/>
</calcChain>
</file>

<file path=xl/sharedStrings.xml><?xml version="1.0" encoding="utf-8"?>
<sst xmlns="http://schemas.openxmlformats.org/spreadsheetml/2006/main" count="15898" uniqueCount="4748">
  <si>
    <t xml:space="preserve">Вид объекта: </t>
  </si>
  <si>
    <t>Непроизводственного назначения</t>
  </si>
  <si>
    <t>Код МССК:</t>
  </si>
  <si>
    <t>№</t>
  </si>
  <si>
    <t>Набор атрибутов</t>
  </si>
  <si>
    <t>Наименование параметра</t>
  </si>
  <si>
    <t xml:space="preserve">Имя параметра IFC </t>
  </si>
  <si>
    <t>Тип данных</t>
  </si>
  <si>
    <t>Пример</t>
  </si>
  <si>
    <t>Материалы АГР</t>
  </si>
  <si>
    <t>Текстовый</t>
  </si>
  <si>
    <t>Вещественный</t>
  </si>
  <si>
    <t>Общие данные</t>
  </si>
  <si>
    <t>Наименование</t>
  </si>
  <si>
    <t>RUS_Name</t>
  </si>
  <si>
    <t>-</t>
  </si>
  <si>
    <t>Количественные параметры</t>
  </si>
  <si>
    <t>RusSet_Quantities</t>
  </si>
  <si>
    <t>Площадь</t>
  </si>
  <si>
    <t>RUS_Area</t>
  </si>
  <si>
    <t>Б.0</t>
  </si>
  <si>
    <t>Сведения о проекте</t>
  </si>
  <si>
    <t>RusSet_Project</t>
  </si>
  <si>
    <t>Наименование проекта</t>
  </si>
  <si>
    <t>RUS_ProjectName</t>
  </si>
  <si>
    <t>Жилой дом</t>
  </si>
  <si>
    <t>Адрес</t>
  </si>
  <si>
    <t>RUS_BuildingAddress</t>
  </si>
  <si>
    <t>г. Москва, Проспект Мира</t>
  </si>
  <si>
    <t>Функциональное назначение объекта</t>
  </si>
  <si>
    <t>RUS_FNO</t>
  </si>
  <si>
    <t>Жилое здание/Нежилое здание</t>
  </si>
  <si>
    <t>Б.1</t>
  </si>
  <si>
    <t>Объемно-планировочные и архитектурные решения</t>
  </si>
  <si>
    <t>Код элемента МССК</t>
  </si>
  <si>
    <t>RUS_MSSK_Element_Code</t>
  </si>
  <si>
    <t>ЭЛ 30 30</t>
  </si>
  <si>
    <t>Объем подземной части здания</t>
  </si>
  <si>
    <t>Наименование элемента МССК</t>
  </si>
  <si>
    <t>RUS_MSSK_Element_Name</t>
  </si>
  <si>
    <t>Подземная часть здания</t>
  </si>
  <si>
    <t>Объем</t>
  </si>
  <si>
    <t>RUS_Volume</t>
  </si>
  <si>
    <t>Высота</t>
  </si>
  <si>
    <t>RUS_Height</t>
  </si>
  <si>
    <t>мм</t>
  </si>
  <si>
    <t>Ширина</t>
  </si>
  <si>
    <t>RUS_Width</t>
  </si>
  <si>
    <t>Длина</t>
  </si>
  <si>
    <t>RUS_Length</t>
  </si>
  <si>
    <t>Местоположение</t>
  </si>
  <si>
    <t>RusSet_Location</t>
  </si>
  <si>
    <t>Номер объекта (корпуса)</t>
  </si>
  <si>
    <t>RUS_Object</t>
  </si>
  <si>
    <t>К01</t>
  </si>
  <si>
    <t>Номер подобъекта (секции)</t>
  </si>
  <si>
    <t>RUS_Object_Sub</t>
  </si>
  <si>
    <t>С01</t>
  </si>
  <si>
    <t>Б.2</t>
  </si>
  <si>
    <t>Разделы ЦИМ:</t>
  </si>
  <si>
    <t>Класс IFC:</t>
  </si>
  <si>
    <t>IfcBuilding</t>
  </si>
  <si>
    <t>Объект</t>
  </si>
  <si>
    <t>Элемент:</t>
  </si>
  <si>
    <t>Группа</t>
  </si>
  <si>
    <t>Ед.изм.</t>
  </si>
  <si>
    <t>IfcBuildingElementProxy</t>
  </si>
  <si>
    <t>Вспомогательное 3D-тело</t>
  </si>
  <si>
    <t>ЭЛ 30 30 10, ЭЛ 30 30 20</t>
  </si>
  <si>
    <t>RusSet_Common</t>
  </si>
  <si>
    <t>IfcSpace</t>
  </si>
  <si>
    <t>Помещение</t>
  </si>
  <si>
    <t>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</si>
  <si>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Наименование помещения и зоны МССК</t>
  </si>
  <si>
    <t>RUS_MSSK_SpaceAndZone_Code</t>
  </si>
  <si>
    <t>ПЗ 30 20 07</t>
  </si>
  <si>
    <t>Кухня</t>
  </si>
  <si>
    <t>RUS_MSSK_SpaceAndZone_Name</t>
  </si>
  <si>
    <t>Идентификация</t>
  </si>
  <si>
    <t>RusSet_Identification</t>
  </si>
  <si>
    <t>Категория функциональной зоны</t>
  </si>
  <si>
    <t>RUS_Zone</t>
  </si>
  <si>
    <t>Жилая зона</t>
  </si>
  <si>
    <t>Группа помещений</t>
  </si>
  <si>
    <t>RUS_Group_Type</t>
  </si>
  <si>
    <t>Квартира</t>
  </si>
  <si>
    <t>Номер группы помещений</t>
  </si>
  <si>
    <t>RUS_Group_Number</t>
  </si>
  <si>
    <t>Номер помещения</t>
  </si>
  <si>
    <t>RUS_Number</t>
  </si>
  <si>
    <t>RusSet_AGR</t>
  </si>
  <si>
    <t>Подземный этаж</t>
  </si>
  <si>
    <t>RUS_BasementFloor</t>
  </si>
  <si>
    <t>Булевый</t>
  </si>
  <si>
    <t>да/нет</t>
  </si>
  <si>
    <t>Плавающая высотная отметка уровня</t>
  </si>
  <si>
    <t>RUS_GroundFloor</t>
  </si>
  <si>
    <t>Студия (тип квартиры)</t>
  </si>
  <si>
    <t>RUS_StudioApart</t>
  </si>
  <si>
    <t>Б.3.1</t>
  </si>
  <si>
    <t>Зона (СПП в ГНС)</t>
  </si>
  <si>
    <t>Код помещения и зоны МССК</t>
  </si>
  <si>
    <t>СПП в ГНС</t>
  </si>
  <si>
    <t>RUS_ResidentalRoom</t>
  </si>
  <si>
    <t>Б.3.2</t>
  </si>
  <si>
    <t>Зона (Общая площадь)</t>
  </si>
  <si>
    <t>ПЗ 03</t>
  </si>
  <si>
    <t>Общая площадь</t>
  </si>
  <si>
    <t>Б.4</t>
  </si>
  <si>
    <t>IfcWall</t>
  </si>
  <si>
    <t>Стена, перегородка</t>
  </si>
  <si>
    <t>ЭЛ 20 20 06, ЭЛ 30 10 15, ЭЛ 30 10 20, ЭЛ 30 10 36, ЭЛ 30 10 75, ЭЛ 30 10 76, ЭЛ 30 10 77, ЭЛ 30 10 78, ЭЛ 30 10 79, ЭЛ 30 16 77, ЭЛ 30 16 78</t>
  </si>
  <si>
    <t>ЭЛ 30 10 20</t>
  </si>
  <si>
    <t>Перегородка</t>
  </si>
  <si>
    <t>Толщина</t>
  </si>
  <si>
    <t>RUS_Thickness</t>
  </si>
  <si>
    <t>0.7</t>
  </si>
  <si>
    <t>Б.5</t>
  </si>
  <si>
    <t>IfcColumn</t>
  </si>
  <si>
    <t>Колонна, пилястра</t>
  </si>
  <si>
    <t>ЭЛ 30 16 15, ЭЛ 30 16 25, ЭЛ 30 16 40, ЭЛ 30 16 42, ЭЛ 30 16 50, ЭЛ 30 16 51</t>
  </si>
  <si>
    <t>ЭЛ 30 16 51</t>
  </si>
  <si>
    <t>Пилястра</t>
  </si>
  <si>
    <t>Диаметр</t>
  </si>
  <si>
    <t>RUS_Diametr</t>
  </si>
  <si>
    <t>Б.6</t>
  </si>
  <si>
    <t>Лестница</t>
  </si>
  <si>
    <t>IfcStair</t>
  </si>
  <si>
    <t>ЭЛ 30 24 30, ЭЛ 30 24 35</t>
  </si>
  <si>
    <t>ЭЛ 30 24 30</t>
  </si>
  <si>
    <t>Лестница монолитная</t>
  </si>
  <si>
    <t>Б.7</t>
  </si>
  <si>
    <t>IfcRamp</t>
  </si>
  <si>
    <t>Пандус, рампа</t>
  </si>
  <si>
    <t>ЭЛ 30 24 40, ЭЛ 30 24 60</t>
  </si>
  <si>
    <t>ЭЛ 30 24 40</t>
  </si>
  <si>
    <t>Пандус монолитная</t>
  </si>
  <si>
    <t>Пандус</t>
  </si>
  <si>
    <t>Уклон</t>
  </si>
  <si>
    <t>RUS_Slope</t>
  </si>
  <si>
    <t>˚</t>
  </si>
  <si>
    <t>Б.8</t>
  </si>
  <si>
    <t>IfcSlab</t>
  </si>
  <si>
    <t>Перекрытие</t>
  </si>
  <si>
    <t>ЭЛ 30 10 40, ЭЛ 30 10 56, ЭЛ 30 10 57, ЭЛ 30 10 58, ЭЛ 30 10 80, ЭЛ 30 16 25, ЭЛ 30 24 20, ЭЛ 30 24 50, ЭЛ 30 24 51, ЭЛ 60 20 13</t>
  </si>
  <si>
    <t>ЭЛ 30 10 40</t>
  </si>
  <si>
    <t>Перекрытие монолитное</t>
  </si>
  <si>
    <t>Б.9</t>
  </si>
  <si>
    <t>IfcWindow</t>
  </si>
  <si>
    <t>Окно, балконный блок, остекление витража</t>
  </si>
  <si>
    <t>ЭЛ 20 30 24, ЭЛ 30 18 09, ЭЛ 30 18 40, ЭЛ 30 18 52, ЭЛ 30 18 52 10</t>
  </si>
  <si>
    <t>ЭЛ 30 18 40</t>
  </si>
  <si>
    <t>Код материала МССК</t>
  </si>
  <si>
    <t>RUS_MSSK_Material_Code</t>
  </si>
  <si>
    <t>СТ 10 17 20 10</t>
  </si>
  <si>
    <t>Окно</t>
  </si>
  <si>
    <t>Наименование материала МССК</t>
  </si>
  <si>
    <t>RUS_MSSK_Material_Name</t>
  </si>
  <si>
    <t>Алюминий</t>
  </si>
  <si>
    <t>Высота подоконника</t>
  </si>
  <si>
    <t>RUS_SillHeight</t>
  </si>
  <si>
    <t>Площадь остекления</t>
  </si>
  <si>
    <t>RUS_GlazingArea</t>
  </si>
  <si>
    <t>Б.10</t>
  </si>
  <si>
    <t>IfcDoor</t>
  </si>
  <si>
    <t>Дверь, ворота, люк</t>
  </si>
  <si>
    <t>ЭЛ 30 18 20, ЭЛ 30 18 20 01, ЭЛ 30 18 20 02, ЭЛ 30 18 30, ЭЛ 30 18 30 10, ЭЛ 30 18 30 20, ЭЛ 30 18 30 30, ЭЛ 30 18 30 31, ЭЛ 30 18 50, ЭЛ 30 18 50 10, ЭЛ 30 18 50 20, ЭЛ 35 01 01, ЭЛ 35 01 02, ЭЛ 40 50 27 06</t>
  </si>
  <si>
    <t>ЭЛ 30 18 30</t>
  </si>
  <si>
    <t>Ворота</t>
  </si>
  <si>
    <t>Дверь</t>
  </si>
  <si>
    <t>Б.11</t>
  </si>
  <si>
    <t>ЭЛ 30 10 10, ЭЛ 30 10 35, ЭЛ 30 10 60, ЭЛ 30 10 61</t>
  </si>
  <si>
    <t>IfcCurtainWall</t>
  </si>
  <si>
    <t>Фасад</t>
  </si>
  <si>
    <t>ЭЛ 30 10 10</t>
  </si>
  <si>
    <t>СТ 00 70</t>
  </si>
  <si>
    <t>Керамогранит тип 3</t>
  </si>
  <si>
    <t>Стекло</t>
  </si>
  <si>
    <t>Витраж</t>
  </si>
  <si>
    <t>Б.12</t>
  </si>
  <si>
    <t>IfcMember</t>
  </si>
  <si>
    <t>Импост витражной системы (навесного фасада)</t>
  </si>
  <si>
    <t>ЭЛ 30 10 10 20, ЭЛ 30 10 61 02</t>
  </si>
  <si>
    <t>ЭЛ 30 10 10 20</t>
  </si>
  <si>
    <t>СТ 00 80</t>
  </si>
  <si>
    <t>Импост витражной системы</t>
  </si>
  <si>
    <t>Пластмасса</t>
  </si>
  <si>
    <t>Масса</t>
  </si>
  <si>
    <t>RUS_Weight</t>
  </si>
  <si>
    <t>кг</t>
  </si>
  <si>
    <t>Б.13</t>
  </si>
  <si>
    <t>IfcPlate</t>
  </si>
  <si>
    <t>Панель витражной системы (навесного фасада)</t>
  </si>
  <si>
    <t>ЭЛ 30 10 10 10</t>
  </si>
  <si>
    <t>Панель витражной системы</t>
  </si>
  <si>
    <t>Панель витражной систем</t>
  </si>
  <si>
    <t>кв.м.</t>
  </si>
  <si>
    <t>куб.м.</t>
  </si>
  <si>
    <t>Б.#</t>
  </si>
  <si>
    <t>ЭЛ 20 20 06</t>
  </si>
  <si>
    <t>Парапет кровли</t>
  </si>
  <si>
    <t>ЭЛ 30 10 15</t>
  </si>
  <si>
    <t>Стена</t>
  </si>
  <si>
    <t>ЭЛ 30 10 36</t>
  </si>
  <si>
    <t>Парапет</t>
  </si>
  <si>
    <t>ЭЛ 30 10 79</t>
  </si>
  <si>
    <t>Блок угловой стеновых панелей</t>
  </si>
  <si>
    <t>ЭЛ 30 16 77</t>
  </si>
  <si>
    <t>Блок угловой</t>
  </si>
  <si>
    <t>ЭЛ 30 16 78</t>
  </si>
  <si>
    <t>Блок вентиляционный</t>
  </si>
  <si>
    <t>ЭЛ 30 10 75</t>
  </si>
  <si>
    <t>Панель стеновая наружная рядовая</t>
  </si>
  <si>
    <t>ЭЛ 30 10 76</t>
  </si>
  <si>
    <t>Панель стеновая наружная простеночная</t>
  </si>
  <si>
    <t>ЭЛ 30 10 77</t>
  </si>
  <si>
    <t>Панель стеновая наружная карнизная</t>
  </si>
  <si>
    <t>ЭЛ 30 10 78</t>
  </si>
  <si>
    <t>Панель стеновая перегородка</t>
  </si>
  <si>
    <t>Изм.</t>
  </si>
  <si>
    <t>+</t>
  </si>
  <si>
    <t>отменён</t>
  </si>
  <si>
    <t>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</t>
  </si>
  <si>
    <t>ЭЛ 30 30 10</t>
  </si>
  <si>
    <t>ЭЛ 30 30 20</t>
  </si>
  <si>
    <t>ЭЛ 30 16 15</t>
  </si>
  <si>
    <t>ЭЛ 30 16 25</t>
  </si>
  <si>
    <t>ЭЛ 30 16 40</t>
  </si>
  <si>
    <t>ЭЛ 30 16 42</t>
  </si>
  <si>
    <t>ЭЛ 30 16 50</t>
  </si>
  <si>
    <t>ЭЛ 30 10 61</t>
  </si>
  <si>
    <t>ЭЛ 30 10 35</t>
  </si>
  <si>
    <t>ЭЛ 30 10 60</t>
  </si>
  <si>
    <t>ЭЛ 40 50 27 06</t>
  </si>
  <si>
    <t>ЭЛ 30 18 20</t>
  </si>
  <si>
    <t>ЭЛ 30 18 20 01</t>
  </si>
  <si>
    <t>ЭЛ 30 18 20 02</t>
  </si>
  <si>
    <t>ЭЛ 30 18 30 10</t>
  </si>
  <si>
    <t>ЭЛ 30 18 30 20</t>
  </si>
  <si>
    <t>ЭЛ 30 18 30 30</t>
  </si>
  <si>
    <t>ЭЛ 30 18 30 31</t>
  </si>
  <si>
    <t>ЭЛ 30 18 50</t>
  </si>
  <si>
    <t>ЭЛ 30 18 50 10</t>
  </si>
  <si>
    <t>ЭЛ 30 18 50 20</t>
  </si>
  <si>
    <t>ЭЛ 35 01 01</t>
  </si>
  <si>
    <t>ЭЛ 35 01 02</t>
  </si>
  <si>
    <t>ЭЛ 30 10 61 02</t>
  </si>
  <si>
    <t>ЭЛ 30 24 60</t>
  </si>
  <si>
    <t>ЭЛ 60 20 13</t>
  </si>
  <si>
    <t>ЭЛ 30 24 35</t>
  </si>
  <si>
    <t>ЭЛ 30 18 52 10</t>
  </si>
  <si>
    <t>ЭЛ 30 10 56</t>
  </si>
  <si>
    <t>ЭЛ 30 10 57</t>
  </si>
  <si>
    <t>ЭЛ 30 10 58</t>
  </si>
  <si>
    <t>ЭЛ 30 10 80</t>
  </si>
  <si>
    <t>ЭЛ 30 24 20</t>
  </si>
  <si>
    <t>ЭЛ 30 24 50</t>
  </si>
  <si>
    <t>ЭЛ 30 24 51</t>
  </si>
  <si>
    <t>ПЗ 30</t>
  </si>
  <si>
    <t>ПЗ 30 10</t>
  </si>
  <si>
    <t>ПЗ 30 20</t>
  </si>
  <si>
    <t>ПЗ 30 30</t>
  </si>
  <si>
    <t>ПЗ 31 01</t>
  </si>
  <si>
    <t>ПЗ 31 02</t>
  </si>
  <si>
    <t>ПЗ 31 03</t>
  </si>
  <si>
    <t>ПЗ 31 04</t>
  </si>
  <si>
    <t>ПЗ 31 05</t>
  </si>
  <si>
    <t>ПЗ 31 06</t>
  </si>
  <si>
    <t>ПЗ 31 07</t>
  </si>
  <si>
    <t>ПЗ 31 08</t>
  </si>
  <si>
    <t>ПЗ 31 09</t>
  </si>
  <si>
    <t>ПЗ 31 10</t>
  </si>
  <si>
    <t>ПЗ 31 12</t>
  </si>
  <si>
    <t>ПЗ 31 13</t>
  </si>
  <si>
    <t>ПЗ 31 14</t>
  </si>
  <si>
    <t>ПЗ 31 15</t>
  </si>
  <si>
    <t>ПЗ 31 16</t>
  </si>
  <si>
    <t>ПЗ 31 17</t>
  </si>
  <si>
    <t>ПЗ 32 10</t>
  </si>
  <si>
    <t>ПЗ 32 12</t>
  </si>
  <si>
    <t>ПЗ 32 13</t>
  </si>
  <si>
    <t>ПЗ 32 14</t>
  </si>
  <si>
    <t>ПЗ 32 15</t>
  </si>
  <si>
    <t>ЭЛ 20 30 24</t>
  </si>
  <si>
    <t>ЭЛ 30 18 09</t>
  </si>
  <si>
    <t>ЭЛ 30 18 52</t>
  </si>
  <si>
    <r>
      <rPr>
        <b/>
        <sz val="10"/>
        <rFont val="Times New Roman"/>
        <family val="1"/>
        <charset val="204"/>
      </rPr>
      <t xml:space="preserve">КЛАССИФИКАТОРЫ ДЛЯ ИНФОРМАЦИОННОГО МОДЕЛИРОВАНИЯ. Часть 5. </t>
    </r>
    <r>
      <rPr>
        <sz val="10"/>
        <rFont val="Times New Roman"/>
        <family val="1"/>
        <charset val="204"/>
      </rPr>
      <t>КЛАССИФИКАТОР «ПОМЕЩЕНИЯ И ЗОНЫ». Москва 2024</t>
    </r>
  </si>
  <si>
    <t>Код</t>
  </si>
  <si>
    <t>Категория зон или группы помещений</t>
  </si>
  <si>
    <t>Группа помещений или помещение</t>
  </si>
  <si>
    <t>ПЗ 01</t>
  </si>
  <si>
    <t>Границы земельного участка</t>
  </si>
  <si>
    <t>ПЗ 02</t>
  </si>
  <si>
    <t>Площадь застройки</t>
  </si>
  <si>
    <t>ПЗ 03 10</t>
  </si>
  <si>
    <t>Зоны участков</t>
  </si>
  <si>
    <t>ПЗ 03 10 01</t>
  </si>
  <si>
    <t>Зона участка застройки</t>
  </si>
  <si>
    <t>ПЗ 03 10 02</t>
  </si>
  <si>
    <t>Зона участка земельного</t>
  </si>
  <si>
    <t>ПЗ 04</t>
  </si>
  <si>
    <t>Пожарный отсек</t>
  </si>
  <si>
    <t>ПЗ 05</t>
  </si>
  <si>
    <t>Пожарная секция</t>
  </si>
  <si>
    <t>ПЗ 06</t>
  </si>
  <si>
    <t>Зона безопасности МГН</t>
  </si>
  <si>
    <t>ПЗ 07</t>
  </si>
  <si>
    <t>Зона санитарно-бытовая МГН</t>
  </si>
  <si>
    <t>ПЗ 08</t>
  </si>
  <si>
    <t>ПЗ 09</t>
  </si>
  <si>
    <t>Квартира МГН</t>
  </si>
  <si>
    <t>ПЗ 10</t>
  </si>
  <si>
    <t>Наземная автостоянка</t>
  </si>
  <si>
    <t>ПЗ 10 10</t>
  </si>
  <si>
    <t>Надземная зона остановки и стоянки автомобильных  транспортных средств</t>
  </si>
  <si>
    <t>ПЗ 10 10 01</t>
  </si>
  <si>
    <t>Парковочное место надземное</t>
  </si>
  <si>
    <t>ПЗ 11</t>
  </si>
  <si>
    <t>Подземная автостоянка</t>
  </si>
  <si>
    <t>ПЗ 11 10</t>
  </si>
  <si>
    <t>Подземная зона остановки и стоянки автомобильных  транспортных средств</t>
  </si>
  <si>
    <t>ПЗ 11 10 01</t>
  </si>
  <si>
    <t>Парковочное место поздемное</t>
  </si>
  <si>
    <t>ПЗ 12</t>
  </si>
  <si>
    <t>Зона отдыха</t>
  </si>
  <si>
    <t>ПЗ 13</t>
  </si>
  <si>
    <t>Зона ожидания</t>
  </si>
  <si>
    <t>ПЗ 14</t>
  </si>
  <si>
    <t>Зоны организации строительства</t>
  </si>
  <si>
    <t>ПЗ 14 01</t>
  </si>
  <si>
    <t>Зона обслуживания</t>
  </si>
  <si>
    <t>ПЗ 14 02</t>
  </si>
  <si>
    <t>Зона действия строительных машин</t>
  </si>
  <si>
    <t>ПЗ 14 03</t>
  </si>
  <si>
    <t>Зона строительной площадки опасная производственная</t>
  </si>
  <si>
    <t>ПЗ 14 04</t>
  </si>
  <si>
    <t>Зона размещения складских площадок</t>
  </si>
  <si>
    <t>ПЗ 14 05</t>
  </si>
  <si>
    <t>Зона временного размещения грунта</t>
  </si>
  <si>
    <t>ПЗ 14 06</t>
  </si>
  <si>
    <t>Зона размещения строительной техники</t>
  </si>
  <si>
    <t>ПЗ 14 07</t>
  </si>
  <si>
    <t>Зона путей перемещения крана</t>
  </si>
  <si>
    <t>ПЗ 14 08</t>
  </si>
  <si>
    <t>Зона перемещения транспортных средств</t>
  </si>
  <si>
    <t>ПЗ 14 09</t>
  </si>
  <si>
    <t>Опасная зона</t>
  </si>
  <si>
    <t>ПЗ 15</t>
  </si>
  <si>
    <t>Учебная зона</t>
  </si>
  <si>
    <t>ПЗ 16</t>
  </si>
  <si>
    <t>Игровая зона</t>
  </si>
  <si>
    <t>ПЗ 17</t>
  </si>
  <si>
    <t>Входная группа</t>
  </si>
  <si>
    <t>ПЗ 17 01</t>
  </si>
  <si>
    <t>Входная площадка</t>
  </si>
  <si>
    <t>ПЗ 18</t>
  </si>
  <si>
    <t>Гардеробная</t>
  </si>
  <si>
    <t>ПЗ 19</t>
  </si>
  <si>
    <t>Наружная зона</t>
  </si>
  <si>
    <t>ПЗ 19 01</t>
  </si>
  <si>
    <t>Приямок</t>
  </si>
  <si>
    <t>ПЗ 19 02</t>
  </si>
  <si>
    <t>Игровая площадка</t>
  </si>
  <si>
    <t>ПЗ 19 03</t>
  </si>
  <si>
    <t>Прогулочная веранда</t>
  </si>
  <si>
    <t>ПЗ 20</t>
  </si>
  <si>
    <t>Лестнично-лифтовой узел</t>
  </si>
  <si>
    <t>ПЗ 21</t>
  </si>
  <si>
    <t>Административно-деловые зоны</t>
  </si>
  <si>
    <t>ПЗ 21 01</t>
  </si>
  <si>
    <t>Зона совещаний</t>
  </si>
  <si>
    <t>ПЗ 21 02</t>
  </si>
  <si>
    <t>Зона руководства</t>
  </si>
  <si>
    <t>ПЗ 21 03</t>
  </si>
  <si>
    <t>Офисная зона</t>
  </si>
  <si>
    <t>ПЗ 22</t>
  </si>
  <si>
    <t>Концертно-сценические зоны</t>
  </si>
  <si>
    <t>ПЗ 22 01</t>
  </si>
  <si>
    <t>Зона зрительного зала</t>
  </si>
  <si>
    <t>ПЗ 22 02</t>
  </si>
  <si>
    <t>Зона сцены</t>
  </si>
  <si>
    <t>ПЗ 22 03</t>
  </si>
  <si>
    <t>Зона эстрады</t>
  </si>
  <si>
    <t>ПЗ 22 04</t>
  </si>
  <si>
    <t>Оркестровая яма</t>
  </si>
  <si>
    <t>ПЗ 23</t>
  </si>
  <si>
    <t>Этажи</t>
  </si>
  <si>
    <t>ПЗ 23 01</t>
  </si>
  <si>
    <t>Этаж/Типовой этаж</t>
  </si>
  <si>
    <t>ПЗ 23 02</t>
  </si>
  <si>
    <t>Мансардный этаж</t>
  </si>
  <si>
    <t>ПЗ 23 03</t>
  </si>
  <si>
    <t>Подвальный этаж</t>
  </si>
  <si>
    <t>ПЗ 23 04</t>
  </si>
  <si>
    <t>ПЗ 23 05</t>
  </si>
  <si>
    <t>Технический этаж</t>
  </si>
  <si>
    <t>ПЗ 23 06</t>
  </si>
  <si>
    <t>Цокольный этаж</t>
  </si>
  <si>
    <t>ПЗ 23 07</t>
  </si>
  <si>
    <t>Этаж первый</t>
  </si>
  <si>
    <t>ПЗ 23 08</t>
  </si>
  <si>
    <t>Этаж чердачный</t>
  </si>
  <si>
    <t>ПЗ 23 09</t>
  </si>
  <si>
    <t>Эксплуатируемая кровля</t>
  </si>
  <si>
    <t>ПЗ 24</t>
  </si>
  <si>
    <t>Рабочая зона</t>
  </si>
  <si>
    <t>ПЗ 25</t>
  </si>
  <si>
    <t>Зона нерегулярного нахождения людей</t>
  </si>
  <si>
    <t>ПЗ 26</t>
  </si>
  <si>
    <t>Зона освещенности естественным или искусственным светом</t>
  </si>
  <si>
    <t>ПЗ 27</t>
  </si>
  <si>
    <t>Зона температурная</t>
  </si>
  <si>
    <t>ПЗ 27 01</t>
  </si>
  <si>
    <t>Зона температурного воздействия, специальных температурных условий</t>
  </si>
  <si>
    <t>ПЗ 27 02</t>
  </si>
  <si>
    <t>Зона специальных условий вентиляции, вытяжки воздуха</t>
  </si>
  <si>
    <t>Помещения квартир</t>
  </si>
  <si>
    <t>Жилые помещения</t>
  </si>
  <si>
    <t>П3 30 10 01</t>
  </si>
  <si>
    <t>Гостиная</t>
  </si>
  <si>
    <t>ПЗ 30 10 02</t>
  </si>
  <si>
    <t>Детская</t>
  </si>
  <si>
    <t>ПЗ 30 10 03</t>
  </si>
  <si>
    <t>Жилая комната</t>
  </si>
  <si>
    <t>ПЗ 30 10 04</t>
  </si>
  <si>
    <t>Спальня</t>
  </si>
  <si>
    <t>Вспомогательные помещения</t>
  </si>
  <si>
    <t>ПЗ 30 20 01</t>
  </si>
  <si>
    <t>Бельевая</t>
  </si>
  <si>
    <t>ПЗ 30 20 02</t>
  </si>
  <si>
    <t>Ванная</t>
  </si>
  <si>
    <t>ПЗ 30 20 03</t>
  </si>
  <si>
    <t>Встроенный шкаф</t>
  </si>
  <si>
    <t>ПЗ 30 20 04</t>
  </si>
  <si>
    <t>ПЗ 30 20 05</t>
  </si>
  <si>
    <t>Душевая</t>
  </si>
  <si>
    <t>ПЗ 30 20 06</t>
  </si>
  <si>
    <t>Коридор</t>
  </si>
  <si>
    <t>ПЗ 30 20 08</t>
  </si>
  <si>
    <t>Кухня-ниша</t>
  </si>
  <si>
    <t>ПЗ 30 20 09</t>
  </si>
  <si>
    <t>Кухня-столовая</t>
  </si>
  <si>
    <t>ПЗ 30 20 10</t>
  </si>
  <si>
    <t>Лестница внутриквартирная</t>
  </si>
  <si>
    <t>ПЗ 30 20 11</t>
  </si>
  <si>
    <t>Постирочная</t>
  </si>
  <si>
    <t>ПЗ 30 20 12</t>
  </si>
  <si>
    <t>Прихожая</t>
  </si>
  <si>
    <t>ПЗ 30 20 13</t>
  </si>
  <si>
    <t>Совмещенный санузел</t>
  </si>
  <si>
    <t>ПЗ 30 20 14</t>
  </si>
  <si>
    <t>Туалет</t>
  </si>
  <si>
    <t>ПЗ 30 20 15</t>
  </si>
  <si>
    <t>Холл</t>
  </si>
  <si>
    <t>ПЗ 30 20 16</t>
  </si>
  <si>
    <t>Отапливаемая кладовая</t>
  </si>
  <si>
    <t>ПЗ 30 20 17</t>
  </si>
  <si>
    <t>Сауна</t>
  </si>
  <si>
    <t>ПЗ 30 20 18</t>
  </si>
  <si>
    <t>Уборная</t>
  </si>
  <si>
    <t>Неотапливаемые помещения</t>
  </si>
  <si>
    <t>ПЗ 30 30 01</t>
  </si>
  <si>
    <t>Холодная кладовая</t>
  </si>
  <si>
    <t>ПЗ 30 30 02</t>
  </si>
  <si>
    <t>Веранда</t>
  </si>
  <si>
    <t>ПЗ 30 30 03</t>
  </si>
  <si>
    <t>Балкон</t>
  </si>
  <si>
    <t>ПЗ 30 30 04</t>
  </si>
  <si>
    <t>Терраса</t>
  </si>
  <si>
    <t>ПЗ 30 30 05</t>
  </si>
  <si>
    <t>Лоджия</t>
  </si>
  <si>
    <t>ПЗ 31</t>
  </si>
  <si>
    <t>Общественная зона</t>
  </si>
  <si>
    <t>Административно-деловые помещения</t>
  </si>
  <si>
    <t>ПЗ 31 01 01</t>
  </si>
  <si>
    <t>Актовый зал</t>
  </si>
  <si>
    <t>ПЗ 31 01 02</t>
  </si>
  <si>
    <t>Зал совещаний</t>
  </si>
  <si>
    <t>ПЗ 31 01 03</t>
  </si>
  <si>
    <t>Кабинет</t>
  </si>
  <si>
    <t>ПЗ 31 01 04</t>
  </si>
  <si>
    <t>Кабинет администратора</t>
  </si>
  <si>
    <t>ПЗ 31 01 05</t>
  </si>
  <si>
    <t>Кабинет директора</t>
  </si>
  <si>
    <t>ПЗ 31 01 06</t>
  </si>
  <si>
    <t>Кабинет заведующего</t>
  </si>
  <si>
    <t>ПЗ 31 01 07</t>
  </si>
  <si>
    <t>Кабинет заместителя директора</t>
  </si>
  <si>
    <t>ПЗ 31 01 08</t>
  </si>
  <si>
    <t>Кабинет заместителя руководителя</t>
  </si>
  <si>
    <t>ПЗ 31 01 09</t>
  </si>
  <si>
    <t>Кабинет первого заместителя</t>
  </si>
  <si>
    <t>ПЗ 31 01 10</t>
  </si>
  <si>
    <t>Кабинет помощника руководителя</t>
  </si>
  <si>
    <t>ПЗ 31 01 11</t>
  </si>
  <si>
    <t>Кабинет руководителя</t>
  </si>
  <si>
    <t>ПЗ 31 01 12</t>
  </si>
  <si>
    <t>Кабинет секретаря</t>
  </si>
  <si>
    <t>ПЗ 31 01 13</t>
  </si>
  <si>
    <t>Конференц-зал</t>
  </si>
  <si>
    <t>ПЗ 31 01 14</t>
  </si>
  <si>
    <t>Офисное помещение</t>
  </si>
  <si>
    <t>ПЗ 31 01 15</t>
  </si>
  <si>
    <t>Переговорная</t>
  </si>
  <si>
    <t>ПЗ 31 01 16</t>
  </si>
  <si>
    <t>Помещение для совещаний</t>
  </si>
  <si>
    <t>ПЗ 31 01 17</t>
  </si>
  <si>
    <t>Приемная заместителя</t>
  </si>
  <si>
    <t>ПЗ 31 01 18</t>
  </si>
  <si>
    <t>Приемная руководства</t>
  </si>
  <si>
    <t>ПЗ 31 01 19</t>
  </si>
  <si>
    <t>Приемный кабинет</t>
  </si>
  <si>
    <t>ПЗ 31 01 20</t>
  </si>
  <si>
    <t>Бухгалтерия</t>
  </si>
  <si>
    <t>ПЗ 31 01 21</t>
  </si>
  <si>
    <t>Кабинет охраны труда</t>
  </si>
  <si>
    <t>ПЗ 31 01 22</t>
  </si>
  <si>
    <t>Кабинет социальных работников</t>
  </si>
  <si>
    <t>Помещения информационно-технические</t>
  </si>
  <si>
    <t>ПЗ 31 02 01</t>
  </si>
  <si>
    <t>Читальный зал</t>
  </si>
  <si>
    <t>Театрально-сценические помещения</t>
  </si>
  <si>
    <t>ПЗ 31 03 01</t>
  </si>
  <si>
    <t>Концертный зал</t>
  </si>
  <si>
    <t>ПЗ 31 03 02</t>
  </si>
  <si>
    <t>Артистическая</t>
  </si>
  <si>
    <t>ПЗ 31 03 03</t>
  </si>
  <si>
    <t>Костюмерная</t>
  </si>
  <si>
    <t>ПЗ 31 03 04</t>
  </si>
  <si>
    <t>Гримерная</t>
  </si>
  <si>
    <t>Помещения тира</t>
  </si>
  <si>
    <t>ПЗ 31 04 01</t>
  </si>
  <si>
    <t>Стрелковая галерея</t>
  </si>
  <si>
    <t>ПЗ 31 04 02</t>
  </si>
  <si>
    <t>Комната оператора</t>
  </si>
  <si>
    <t>ПЗ 31 04 03</t>
  </si>
  <si>
    <t>Комната для хранения мишенного оборудования и мишеней</t>
  </si>
  <si>
    <t>Помещения хранения оружия и боеприпасов</t>
  </si>
  <si>
    <t>ПЗ 31 05 01</t>
  </si>
  <si>
    <t>Комната хранения оружия</t>
  </si>
  <si>
    <t>ПЗ 31 05 02</t>
  </si>
  <si>
    <t>Комната выдачи боеприпасов</t>
  </si>
  <si>
    <t>ПЗ 31 05 03</t>
  </si>
  <si>
    <t>Помещение для чистки оружия</t>
  </si>
  <si>
    <t>Помещения полиции</t>
  </si>
  <si>
    <t>ПЗ 31 06 01</t>
  </si>
  <si>
    <t>Помещение дежурной части</t>
  </si>
  <si>
    <t>ПЗ 31 06 03</t>
  </si>
  <si>
    <t>Помещение охраны и конвоирования</t>
  </si>
  <si>
    <t>ПЗ 31 06 04</t>
  </si>
  <si>
    <t>Помещение по охране объектов ОВД</t>
  </si>
  <si>
    <t>ПЗ 31 06 05</t>
  </si>
  <si>
    <t>Помещение по разрешительно-лицензионной работе</t>
  </si>
  <si>
    <t>ПЗ 31 06 06</t>
  </si>
  <si>
    <t>Кабинет приема граждан</t>
  </si>
  <si>
    <t>ПЗ 31 06 07</t>
  </si>
  <si>
    <t>Кабинет участкового</t>
  </si>
  <si>
    <t>ПЗ 31 06 08</t>
  </si>
  <si>
    <t>Кабинет старшего полицейского</t>
  </si>
  <si>
    <t>ПЗ 31 06 09</t>
  </si>
  <si>
    <t>Кабинет полицейского</t>
  </si>
  <si>
    <t>ПЗ 31 06 10</t>
  </si>
  <si>
    <t>Кабиент полицейских водителей</t>
  </si>
  <si>
    <t>ПЗ 31 06 11</t>
  </si>
  <si>
    <t>Кабинет водителей вольнонаемных</t>
  </si>
  <si>
    <t>ПЗ 31 06 12</t>
  </si>
  <si>
    <t>Кабинет начальника отделения</t>
  </si>
  <si>
    <t>ПЗ 31 06 13</t>
  </si>
  <si>
    <t>Кабинет заместителя начальника отделения</t>
  </si>
  <si>
    <t>ПЗ 31 06 14</t>
  </si>
  <si>
    <t>Кабинет старшего участкового уполномоченного</t>
  </si>
  <si>
    <t>ПЗ 31 06 15</t>
  </si>
  <si>
    <t>Кабиент участковых уполномоченных</t>
  </si>
  <si>
    <t>ПЗ 31 06 16</t>
  </si>
  <si>
    <t>Кабинет командира взвода</t>
  </si>
  <si>
    <t>ПЗ 31 06 17</t>
  </si>
  <si>
    <t>Помещение отдельного взвода ППСП</t>
  </si>
  <si>
    <t>ПЗ 31 06 18</t>
  </si>
  <si>
    <t>Кабинет по работе с личным составом</t>
  </si>
  <si>
    <t>ПЗ 31 06 19</t>
  </si>
  <si>
    <t>Кабинет начальника тыла</t>
  </si>
  <si>
    <t>ПЗ 31 06 20</t>
  </si>
  <si>
    <t>Кабинет тылового обеспечения</t>
  </si>
  <si>
    <t>ПЗ 31 06 21</t>
  </si>
  <si>
    <t>Кабинет начальника штаба</t>
  </si>
  <si>
    <t>ПЗ 31 06 22</t>
  </si>
  <si>
    <t>Помещение штаба</t>
  </si>
  <si>
    <t>ПЗ 31 06 23</t>
  </si>
  <si>
    <t>Архив штаба</t>
  </si>
  <si>
    <t>ПЗ 31 06 24</t>
  </si>
  <si>
    <t>Помещение оперативного управления</t>
  </si>
  <si>
    <t>ПЗ 31 06 25</t>
  </si>
  <si>
    <t>Кабинет начальника дежурной части</t>
  </si>
  <si>
    <t>ПЗ 31 06 26</t>
  </si>
  <si>
    <t>Кабинет делопроизводства и режима</t>
  </si>
  <si>
    <t>ПЗ 31 06 27</t>
  </si>
  <si>
    <t>Кабинет оперативно-разыскной информации</t>
  </si>
  <si>
    <t>ПЗ 31 06 28</t>
  </si>
  <si>
    <t>Кабинет по делам несовершеннолетних</t>
  </si>
  <si>
    <t>ПЗ 31 06 29</t>
  </si>
  <si>
    <t>Кабинет старшего уполномоченного по делам несовершеннолетних</t>
  </si>
  <si>
    <t>ПЗ 31 06 30</t>
  </si>
  <si>
    <t>Кабинет оперуполномоченного</t>
  </si>
  <si>
    <t>ПЗ 31 06 31</t>
  </si>
  <si>
    <t>Кабинет дознавателя</t>
  </si>
  <si>
    <t>ПЗ 31 06 32</t>
  </si>
  <si>
    <t>Кабинет следователя</t>
  </si>
  <si>
    <t>ПЗ 31 06 33</t>
  </si>
  <si>
    <t>Комната следственно-оперативной группы</t>
  </si>
  <si>
    <t>ПЗ 31 06 34</t>
  </si>
  <si>
    <t>Комната группы немедленного реагирования</t>
  </si>
  <si>
    <t>ПЗ 31 06 35</t>
  </si>
  <si>
    <t>Комната свидетелей</t>
  </si>
  <si>
    <t>ПЗ 31 06 36</t>
  </si>
  <si>
    <t>Комната ОУР для работы с отдельными категориями граждан</t>
  </si>
  <si>
    <t>ПЗ 31 06 37</t>
  </si>
  <si>
    <t>Архив ОУР</t>
  </si>
  <si>
    <t>ПЗ 31 06 38</t>
  </si>
  <si>
    <t>Архив дознания</t>
  </si>
  <si>
    <t>ПЗ 31 06 39</t>
  </si>
  <si>
    <t>Комната отдыха дежурного наряда</t>
  </si>
  <si>
    <t>ПЗ 31 06 40</t>
  </si>
  <si>
    <t>Помещение для содержания задержанных лиц</t>
  </si>
  <si>
    <t>ПЗ 31 06 41</t>
  </si>
  <si>
    <t>Раздевалка взвода ППСП (мужская)</t>
  </si>
  <si>
    <t>ПЗ 31 06 42</t>
  </si>
  <si>
    <t>Раздевалка взвода ППСП (женская)</t>
  </si>
  <si>
    <t>Нежилые общественные помещения</t>
  </si>
  <si>
    <t>ПЗ 31 07 01</t>
  </si>
  <si>
    <t>Атриум</t>
  </si>
  <si>
    <t>ПЗ 31 07 02</t>
  </si>
  <si>
    <t>Галерея</t>
  </si>
  <si>
    <t>ПЗ 31 07 03</t>
  </si>
  <si>
    <t>Переход</t>
  </si>
  <si>
    <t>ПЗ 31 07 04</t>
  </si>
  <si>
    <t>Тоннель</t>
  </si>
  <si>
    <t>ПЗ 31 07 05</t>
  </si>
  <si>
    <t>Двойной тамбур</t>
  </si>
  <si>
    <t>ПЗ 31 07 06</t>
  </si>
  <si>
    <t>Колясочная</t>
  </si>
  <si>
    <t>ПЗ 31 07 07</t>
  </si>
  <si>
    <t>Камера хранения</t>
  </si>
  <si>
    <t>ПЗ 31 07 08</t>
  </si>
  <si>
    <t>Лестничная клетка</t>
  </si>
  <si>
    <t>ПЗ 31 07 09</t>
  </si>
  <si>
    <t>Лифтовая кабина</t>
  </si>
  <si>
    <t>ПЗ 31 07 10</t>
  </si>
  <si>
    <t>Лифтовой холл</t>
  </si>
  <si>
    <t>ПЗ 31 07 11</t>
  </si>
  <si>
    <t>Мусоропровод</t>
  </si>
  <si>
    <t>ПЗ 31 07 12</t>
  </si>
  <si>
    <t>Общая лоджия</t>
  </si>
  <si>
    <t>ПЗ 31 07 13</t>
  </si>
  <si>
    <t>Общий балкон</t>
  </si>
  <si>
    <t>ПЗ 31 07 14</t>
  </si>
  <si>
    <t>Общий коридор</t>
  </si>
  <si>
    <t>ПЗ 31 07 15</t>
  </si>
  <si>
    <t>Тамбур</t>
  </si>
  <si>
    <t>ПЗ 31 07 16</t>
  </si>
  <si>
    <t>Тамбур-шлюз</t>
  </si>
  <si>
    <t>ПЗ 31 07 17</t>
  </si>
  <si>
    <t>Фойе</t>
  </si>
  <si>
    <t>ПЗ 31 07 18</t>
  </si>
  <si>
    <t>Гараж</t>
  </si>
  <si>
    <t>ПЗ 31 07 19</t>
  </si>
  <si>
    <t>Пост охраны</t>
  </si>
  <si>
    <t>Помещения входной группы</t>
  </si>
  <si>
    <t>ПЗ 31 08 01</t>
  </si>
  <si>
    <t>Вестибюль</t>
  </si>
  <si>
    <t>ПЗ 31 08 02</t>
  </si>
  <si>
    <t>Аван-вестибюль</t>
  </si>
  <si>
    <t>ПЗ 31 08 03</t>
  </si>
  <si>
    <t>Гардероб</t>
  </si>
  <si>
    <t>ПЗ 31 08 04</t>
  </si>
  <si>
    <t>Вестибюль-гардероб</t>
  </si>
  <si>
    <t>ПЗ 31 08 05</t>
  </si>
  <si>
    <t>Входной тамбур</t>
  </si>
  <si>
    <t>Помещение без конкретного функционального назначения (БКФН)</t>
  </si>
  <si>
    <t>ПЗ 31 09 01</t>
  </si>
  <si>
    <t>Помещение без конкретного функционального назначения</t>
  </si>
  <si>
    <t>ПЗ 31 09 02</t>
  </si>
  <si>
    <t>Помещения бытовые и коммунально-технические</t>
  </si>
  <si>
    <t>ПЗ 31 10 01</t>
  </si>
  <si>
    <t>Инвентарная</t>
  </si>
  <si>
    <t>ПЗ 31 10 02</t>
  </si>
  <si>
    <t>Инвентарная кладовая</t>
  </si>
  <si>
    <t>ПЗ 31 10 03</t>
  </si>
  <si>
    <t>Кассовый пункт</t>
  </si>
  <si>
    <t>ПЗ 31 10 04</t>
  </si>
  <si>
    <t>Кладовая</t>
  </si>
  <si>
    <t>ПЗ 31 10 05</t>
  </si>
  <si>
    <t>Кладовая спортинвентаря</t>
  </si>
  <si>
    <t>ПЗ 31 10 06</t>
  </si>
  <si>
    <t>Снарядная</t>
  </si>
  <si>
    <t>ПЗ 31 10 07</t>
  </si>
  <si>
    <t>Раздевальная</t>
  </si>
  <si>
    <t>ПЗ 31 10 08</t>
  </si>
  <si>
    <t>Раздевалка мужская</t>
  </si>
  <si>
    <t>ПЗ 31 10 09</t>
  </si>
  <si>
    <t>Раздевалка женская</t>
  </si>
  <si>
    <t>ПЗ 31 10 10</t>
  </si>
  <si>
    <t>Раздевалка для мальчиков</t>
  </si>
  <si>
    <t>ПЗ 31 10 11</t>
  </si>
  <si>
    <t>Раздевалка для девочек</t>
  </si>
  <si>
    <t>ПЗ 31 10 12</t>
  </si>
  <si>
    <t>Контрольно-пропускной пункт</t>
  </si>
  <si>
    <t>ПЗ 31 10 13</t>
  </si>
  <si>
    <t>Контрольный пункт</t>
  </si>
  <si>
    <t>ПЗ 31 10 14</t>
  </si>
  <si>
    <t>Моечная</t>
  </si>
  <si>
    <t>ПЗ 31 10 15</t>
  </si>
  <si>
    <t>Помещение уборочной техники (инвентаря)</t>
  </si>
  <si>
    <t>ПЗ 31 10 16</t>
  </si>
  <si>
    <t>Помещение консьержа</t>
  </si>
  <si>
    <t>ПЗ 31 10 17</t>
  </si>
  <si>
    <t>Помещение охраны</t>
  </si>
  <si>
    <t>ПЗ 31 10 18</t>
  </si>
  <si>
    <t>Душевая общественная</t>
  </si>
  <si>
    <t>ПЗ 31 10 19</t>
  </si>
  <si>
    <t>Санузел</t>
  </si>
  <si>
    <t>ПЗ 31 10 20</t>
  </si>
  <si>
    <t>Санузел мужской</t>
  </si>
  <si>
    <t>ПЗ 31 10 21</t>
  </si>
  <si>
    <t>Санузел женский</t>
  </si>
  <si>
    <t>ПЗ 31 10 22</t>
  </si>
  <si>
    <t>Санузел для МГН</t>
  </si>
  <si>
    <t>ПЗ 31 10 23</t>
  </si>
  <si>
    <t>Туалет для мальчиков</t>
  </si>
  <si>
    <t>ПЗ 31 10 24</t>
  </si>
  <si>
    <t>Туалет для девочек</t>
  </si>
  <si>
    <t>ПЗ 31 10 25</t>
  </si>
  <si>
    <t>Душевая мальчиков</t>
  </si>
  <si>
    <t>ПЗ 31 10 26</t>
  </si>
  <si>
    <t>Душевая девочек</t>
  </si>
  <si>
    <t>Помещения обслуживающего персонала</t>
  </si>
  <si>
    <t>ПЗ 31 12 01</t>
  </si>
  <si>
    <t>Гардероб персонала</t>
  </si>
  <si>
    <t>ПЗ 31 12 02</t>
  </si>
  <si>
    <t>Гардеробная уличной одежды персонала</t>
  </si>
  <si>
    <t>ПЗ 31 12 03</t>
  </si>
  <si>
    <t>Гардеробная рабочей одежды персонала</t>
  </si>
  <si>
    <t>ПЗ 31 12 04</t>
  </si>
  <si>
    <t>Комната для персонала</t>
  </si>
  <si>
    <t>ПЗ 31 12 05</t>
  </si>
  <si>
    <t>Помещение отдыха персонала</t>
  </si>
  <si>
    <t>ПЗ 31 12 06</t>
  </si>
  <si>
    <t>Помещение персонала</t>
  </si>
  <si>
    <t>ПЗ 31 12 07</t>
  </si>
  <si>
    <t>Помещение приема пищи для персонала</t>
  </si>
  <si>
    <t>ПЗ 31 12 08</t>
  </si>
  <si>
    <t>Душевая для персонала</t>
  </si>
  <si>
    <t>ПЗ 31 12 09</t>
  </si>
  <si>
    <t>Санузел для персонала</t>
  </si>
  <si>
    <t>Техническое помещение</t>
  </si>
  <si>
    <t>ПЗ 31 13 01</t>
  </si>
  <si>
    <t>Индивидуальный тепловой пункт (ИТП)</t>
  </si>
  <si>
    <t>ПЗ 31 13 02</t>
  </si>
  <si>
    <t>Лифтовая шахта</t>
  </si>
  <si>
    <t>ПЗ 31 13 03</t>
  </si>
  <si>
    <t>Вентиляционная шахта</t>
  </si>
  <si>
    <t>ПЗ 31 13 04</t>
  </si>
  <si>
    <t>Машинное отделение лифтов</t>
  </si>
  <si>
    <t>ПЗ 31 13 05</t>
  </si>
  <si>
    <t>Мусоросборная камера</t>
  </si>
  <si>
    <t>ПЗ 31 13 06</t>
  </si>
  <si>
    <t>Насосная</t>
  </si>
  <si>
    <t>ПЗ 31 13 07</t>
  </si>
  <si>
    <t>Подсобное помещение</t>
  </si>
  <si>
    <t>ПЗ 31 13 08</t>
  </si>
  <si>
    <t>Помещение для головной станции (ГС)</t>
  </si>
  <si>
    <t>ПЗ 31 13 09</t>
  </si>
  <si>
    <t>Помещение звуковой трансформаторной подстанции (ЗТП)</t>
  </si>
  <si>
    <t>ПЗ 31 13 10</t>
  </si>
  <si>
    <t>Помещение технического центра (ТЦ)</t>
  </si>
  <si>
    <t>ПЗ 31 13 11</t>
  </si>
  <si>
    <t>Помещение для телефонных распределительных шкафов (ШРТ)</t>
  </si>
  <si>
    <t>ПЗ 31 13 12</t>
  </si>
  <si>
    <t>Помещение инженерных коммуникаций</t>
  </si>
  <si>
    <t>ПЗ 31 13 13</t>
  </si>
  <si>
    <t>Помещение для прочистки мусоропровода</t>
  </si>
  <si>
    <t>ПЗ 31 13 14</t>
  </si>
  <si>
    <t>ПЗ 31 13 15</t>
  </si>
  <si>
    <t>Серверная</t>
  </si>
  <si>
    <t>ПЗ 31 13 16</t>
  </si>
  <si>
    <t>Венткамера</t>
  </si>
  <si>
    <t>ПЗ 31 13 17</t>
  </si>
  <si>
    <t>Форкамера</t>
  </si>
  <si>
    <t>ПЗ 31 13 18</t>
  </si>
  <si>
    <t>Центральный тепловой пункт (ЦТП)</t>
  </si>
  <si>
    <t>ПЗ 31 13 19</t>
  </si>
  <si>
    <t>Электрощитовая</t>
  </si>
  <si>
    <t>ПЗ 31 13 20</t>
  </si>
  <si>
    <t>Помещение мусоропровода</t>
  </si>
  <si>
    <t>ПЗ 31 13 21</t>
  </si>
  <si>
    <t>Кроссовая</t>
  </si>
  <si>
    <t>ПЗ 31 13 22</t>
  </si>
  <si>
    <t>Объединенные диспетческие службы (ОДС)</t>
  </si>
  <si>
    <t>ПЗ 31 13 23</t>
  </si>
  <si>
    <t>Помещение насосно-фильтровальной</t>
  </si>
  <si>
    <t>ПЗ 31 13 24</t>
  </si>
  <si>
    <t>Помещение хлораторной</t>
  </si>
  <si>
    <t>ПЗ 31 13 25</t>
  </si>
  <si>
    <t>Помещение озонаторной</t>
  </si>
  <si>
    <t>ПЗ 31 13 26</t>
  </si>
  <si>
    <t>Помещение с пультом управления</t>
  </si>
  <si>
    <t>ПЗ 31 13 27</t>
  </si>
  <si>
    <t>Мусороприемная камера</t>
  </si>
  <si>
    <t>ПЗ 31 13 28</t>
  </si>
  <si>
    <t>Шахта инженерных коммуникаций</t>
  </si>
  <si>
    <t>ПЗ 31 13 29</t>
  </si>
  <si>
    <t>Пространство для инженерных коммуникаций</t>
  </si>
  <si>
    <t>Помещения приема пищи</t>
  </si>
  <si>
    <t>ПЗ 31 14 01</t>
  </si>
  <si>
    <t>Столовая</t>
  </si>
  <si>
    <t>ПЗ 31 14 02</t>
  </si>
  <si>
    <t>Помещение приема пищи</t>
  </si>
  <si>
    <t>Пищеблок</t>
  </si>
  <si>
    <t>ПЗ 31 15 01</t>
  </si>
  <si>
    <t>Блок охлаждаемых камер</t>
  </si>
  <si>
    <t>ПЗ 31 15 02</t>
  </si>
  <si>
    <t>Горячий цех</t>
  </si>
  <si>
    <t>ПЗ 31 15 03</t>
  </si>
  <si>
    <t>Доготовочная</t>
  </si>
  <si>
    <t>ПЗ 31 15 04</t>
  </si>
  <si>
    <t>Раздаточная</t>
  </si>
  <si>
    <t>ПЗ 31 15 05</t>
  </si>
  <si>
    <t>Загрузочная</t>
  </si>
  <si>
    <t>ПЗ 31 15 06</t>
  </si>
  <si>
    <t>Кладовая овощей</t>
  </si>
  <si>
    <t>ПЗ 31 15 07</t>
  </si>
  <si>
    <t>Кладовая сухих продуктов</t>
  </si>
  <si>
    <t>ПЗ 31 15 08</t>
  </si>
  <si>
    <t>Кладовая скоропортящихся продуктов</t>
  </si>
  <si>
    <t>ПЗ 31 15 09</t>
  </si>
  <si>
    <t>Помещение первичной обработки овощей</t>
  </si>
  <si>
    <t>ПЗ 31 15 10</t>
  </si>
  <si>
    <t>Помещение с холодильным оборудованием</t>
  </si>
  <si>
    <t>ПЗ 31 15 11</t>
  </si>
  <si>
    <t>Кладовая тары</t>
  </si>
  <si>
    <t>ПЗ 31 15 12</t>
  </si>
  <si>
    <t>Моечная посуды</t>
  </si>
  <si>
    <t>ПЗ 31 15 13</t>
  </si>
  <si>
    <t>Моечная тары</t>
  </si>
  <si>
    <t>ПЗ 31 15 14</t>
  </si>
  <si>
    <t>Мясо-рыбный цех</t>
  </si>
  <si>
    <t>ПЗ 31 15 15</t>
  </si>
  <si>
    <t>Овощной цех</t>
  </si>
  <si>
    <t>ПЗ 31 15 16</t>
  </si>
  <si>
    <t>Помещение для питания персонала</t>
  </si>
  <si>
    <t>ПЗ 31 15 17</t>
  </si>
  <si>
    <t>Склад возвратной тары</t>
  </si>
  <si>
    <t>ПЗ 31 15 18</t>
  </si>
  <si>
    <t>Холодный цех</t>
  </si>
  <si>
    <t>ПЗ 31 15 19</t>
  </si>
  <si>
    <t>Мучной цех</t>
  </si>
  <si>
    <t>ПЗ 31 15 20</t>
  </si>
  <si>
    <t>Помещение заведующего производством</t>
  </si>
  <si>
    <t>ПЗ 31 16 01</t>
  </si>
  <si>
    <t>Гладильная</t>
  </si>
  <si>
    <t>ПЗ 31 16 02</t>
  </si>
  <si>
    <t>Кладовая чистого белья</t>
  </si>
  <si>
    <t>ПЗ 31 16 03</t>
  </si>
  <si>
    <t>Кладовая грязного белья</t>
  </si>
  <si>
    <t>ПЗ 31 16 04</t>
  </si>
  <si>
    <t>Помещение приема и сортировки грязного белья</t>
  </si>
  <si>
    <t>ПЗ 31 16 05</t>
  </si>
  <si>
    <t>Стиральная</t>
  </si>
  <si>
    <t>ПЗ 31 16 06</t>
  </si>
  <si>
    <t>Сушильная</t>
  </si>
  <si>
    <t>Помещения бассейна</t>
  </si>
  <si>
    <t>ПЗ 31 17 01</t>
  </si>
  <si>
    <t>Зал ванн бассейна</t>
  </si>
  <si>
    <t>ПЗ 31 17 02</t>
  </si>
  <si>
    <t>Зал "сухого плавания"</t>
  </si>
  <si>
    <t>ПЗ 31 17 03</t>
  </si>
  <si>
    <t>Ножная ванна</t>
  </si>
  <si>
    <t>ПЗ 32</t>
  </si>
  <si>
    <t>Специализированные помещения учебно-воспитательных организациий</t>
  </si>
  <si>
    <t>Кабинеты преподавателей</t>
  </si>
  <si>
    <t>ПЗ 32 10 01</t>
  </si>
  <si>
    <t>Кабинет преподавателей</t>
  </si>
  <si>
    <t>ПЗ 32 10 02</t>
  </si>
  <si>
    <t>Кабинет тренера</t>
  </si>
  <si>
    <t>ПЗ 32 10 03</t>
  </si>
  <si>
    <t>Методический кабинет</t>
  </si>
  <si>
    <t>ПЗ 32 10 04</t>
  </si>
  <si>
    <t>Учительская</t>
  </si>
  <si>
    <t>Помещения медицинского блока</t>
  </si>
  <si>
    <t>ПЗ 32 12 01</t>
  </si>
  <si>
    <t>Кабинет логопеда</t>
  </si>
  <si>
    <t>ПЗ 32 12 03</t>
  </si>
  <si>
    <t>Кабинет сурдолога</t>
  </si>
  <si>
    <t>ПЗ 32 12 04</t>
  </si>
  <si>
    <t>Медицинский кабинет</t>
  </si>
  <si>
    <t>ПЗ 32 12 06</t>
  </si>
  <si>
    <t>Помещение медсестры</t>
  </si>
  <si>
    <t>ПЗ 32 12 07</t>
  </si>
  <si>
    <t>Прививочный кабинет</t>
  </si>
  <si>
    <t>ПЗ 32 12 08</t>
  </si>
  <si>
    <t>Стоматологический кабинет</t>
  </si>
  <si>
    <t>Помещения групповой ячейки ДОО</t>
  </si>
  <si>
    <t>ПЗ 32 13 01</t>
  </si>
  <si>
    <t>Буфетная</t>
  </si>
  <si>
    <t>ПЗ 32 13 02</t>
  </si>
  <si>
    <t>Групповая (игровая)</t>
  </si>
  <si>
    <t>ПЗ 32 13 05</t>
  </si>
  <si>
    <t>Спальное помещение</t>
  </si>
  <si>
    <t>ПЗ 32 13 06</t>
  </si>
  <si>
    <t>Детская туалетная</t>
  </si>
  <si>
    <t>ПЗ 32 13 07</t>
  </si>
  <si>
    <t>Умывальная</t>
  </si>
  <si>
    <t>ПЗ 32 13 08</t>
  </si>
  <si>
    <t>Логопедическая</t>
  </si>
  <si>
    <t>ПЗ 32 13 09</t>
  </si>
  <si>
    <t>Плеопто-ортопедическая комната</t>
  </si>
  <si>
    <t>Помещения групповых занятий</t>
  </si>
  <si>
    <t>ПЗ 32 14 01</t>
  </si>
  <si>
    <t>Музыкальный зал</t>
  </si>
  <si>
    <t>ПЗ 32 14 02</t>
  </si>
  <si>
    <t>Гимнастический зал</t>
  </si>
  <si>
    <t>ПЗ 32 14 03</t>
  </si>
  <si>
    <t>Танцевальный зал</t>
  </si>
  <si>
    <t>ПЗ 32 14 04</t>
  </si>
  <si>
    <t>Спортивный зал</t>
  </si>
  <si>
    <t>ПЗ 32 14 05</t>
  </si>
  <si>
    <t>Физкультурный зал</t>
  </si>
  <si>
    <t>ПЗ 32 14 06</t>
  </si>
  <si>
    <t>Кружковая</t>
  </si>
  <si>
    <t>Учебные помещения</t>
  </si>
  <si>
    <t>ПЗ 32 15 01</t>
  </si>
  <si>
    <t>Библиотека</t>
  </si>
  <si>
    <t>ПЗ 32 15 02</t>
  </si>
  <si>
    <t>Кабинет биологии</t>
  </si>
  <si>
    <t>ПЗ 32 15 03</t>
  </si>
  <si>
    <t>Кабинет домоводства</t>
  </si>
  <si>
    <t>ПЗ 32 15 04</t>
  </si>
  <si>
    <t>Кабинет информатики</t>
  </si>
  <si>
    <t>ПЗ 32 15 05</t>
  </si>
  <si>
    <t>Кабинет начальных классов</t>
  </si>
  <si>
    <t>ПЗ 32 15 06</t>
  </si>
  <si>
    <t>Кабинет универсальный</t>
  </si>
  <si>
    <t>ПЗ 32 15 07</t>
  </si>
  <si>
    <t>Кабинет физики</t>
  </si>
  <si>
    <t>ПЗ 32 15 08</t>
  </si>
  <si>
    <t>Кабинет химии</t>
  </si>
  <si>
    <t>ПЗ 32 15 09</t>
  </si>
  <si>
    <t>Кабинет черчения</t>
  </si>
  <si>
    <t>ПЗ 32 15 11</t>
  </si>
  <si>
    <t>Лаборантская-практикум</t>
  </si>
  <si>
    <t>ПЗ 32 15 12</t>
  </si>
  <si>
    <t>Лаборатория</t>
  </si>
  <si>
    <t>ПЗ 32 15 13</t>
  </si>
  <si>
    <t>Лекционная аудитория</t>
  </si>
  <si>
    <t>ПЗ 32 15 14</t>
  </si>
  <si>
    <t>Лингафонный кабинет</t>
  </si>
  <si>
    <t>ПЗ 32 16</t>
  </si>
  <si>
    <t>Помещения учебной секции</t>
  </si>
  <si>
    <t>ПЗ 32 16 01</t>
  </si>
  <si>
    <t>Учебный кабинет</t>
  </si>
  <si>
    <t>ПЗ 32 16 02</t>
  </si>
  <si>
    <t>Рекреация</t>
  </si>
  <si>
    <t>ПЗ 32 16 03</t>
  </si>
  <si>
    <t>Ресурсный центр</t>
  </si>
  <si>
    <t>ПЗ 33</t>
  </si>
  <si>
    <t>Специализированные помещения медицинских организаций</t>
  </si>
  <si>
    <t>ПЗ 33 10</t>
  </si>
  <si>
    <t>ПЗ 33 10 01</t>
  </si>
  <si>
    <t>Буфетная палатного отделения</t>
  </si>
  <si>
    <t>ПЗ 33 10 02</t>
  </si>
  <si>
    <t>Вестибюль взрослого отделения</t>
  </si>
  <si>
    <t>ПЗ 33 10 03</t>
  </si>
  <si>
    <t>Вестибюль детского отделения</t>
  </si>
  <si>
    <t>ПЗ 33 10 04</t>
  </si>
  <si>
    <t>Входной тамбур взрослого отделения</t>
  </si>
  <si>
    <t>ПЗ 33 10 05</t>
  </si>
  <si>
    <t>Входной тамбур детского отделения</t>
  </si>
  <si>
    <t>ПЗ 33 10 06</t>
  </si>
  <si>
    <t>Гардероб взрослого отделения</t>
  </si>
  <si>
    <t>ПЗ 33 10 07</t>
  </si>
  <si>
    <t>Гардероб детского отделения</t>
  </si>
  <si>
    <t>ПЗ 33 12</t>
  </si>
  <si>
    <t>Помещения регистратуры</t>
  </si>
  <si>
    <t>ПЗ 33 12 01</t>
  </si>
  <si>
    <t>Регистратура взрослого населения</t>
  </si>
  <si>
    <t>ПЗ 33 12 02</t>
  </si>
  <si>
    <t>Регистратура детского населения</t>
  </si>
  <si>
    <t>ПЗ 33 12 03</t>
  </si>
  <si>
    <t>Картохранилище</t>
  </si>
  <si>
    <t>ПЗ 33 13</t>
  </si>
  <si>
    <t>Помещения родового бокса</t>
  </si>
  <si>
    <t>ПЗ 33 13 01</t>
  </si>
  <si>
    <t>Уличный тамбур</t>
  </si>
  <si>
    <t>ПЗ 33 13 02</t>
  </si>
  <si>
    <t>Помещение санитарной обработки рожениц</t>
  </si>
  <si>
    <t>ПЗ 33 13 03</t>
  </si>
  <si>
    <t>Индивидуальная родовая палата</t>
  </si>
  <si>
    <t>ПЗ 33 13 04</t>
  </si>
  <si>
    <t>Туалет родового блока</t>
  </si>
  <si>
    <t>ПЗ 33 13 05</t>
  </si>
  <si>
    <t>Подготовительная с душем для персонала</t>
  </si>
  <si>
    <t>ПЗ 33 13 06</t>
  </si>
  <si>
    <t>Индивидуальная родовая палата с кроватью-трансформером</t>
  </si>
  <si>
    <t>ПЗ 33 14</t>
  </si>
  <si>
    <t>Помещения гемодиализа и детоксикации</t>
  </si>
  <si>
    <t>ПЗ 33 14 01</t>
  </si>
  <si>
    <t>Диализный зал</t>
  </si>
  <si>
    <t>ПЗ 33 14 02</t>
  </si>
  <si>
    <t>Пост дежурной медсестры</t>
  </si>
  <si>
    <t>ПЗ 33 14 03</t>
  </si>
  <si>
    <t>Помещение водоподготовки</t>
  </si>
  <si>
    <t>ПЗ 33 14 04</t>
  </si>
  <si>
    <t>Склад солей</t>
  </si>
  <si>
    <t>ПЗ 33 14 05</t>
  </si>
  <si>
    <t>Кладовая растворов</t>
  </si>
  <si>
    <t>ПЗ 33 14 06</t>
  </si>
  <si>
    <t>Помещение ремонта диализных аппаратов</t>
  </si>
  <si>
    <t>ПЗ 33 14 07</t>
  </si>
  <si>
    <t>Процедурная для проведения перитонеального диализа</t>
  </si>
  <si>
    <t>ПЗ 33 15</t>
  </si>
  <si>
    <t>Зуботехнические помещения</t>
  </si>
  <si>
    <t>ПЗ 33 15 01</t>
  </si>
  <si>
    <t>Помещение зубных техников</t>
  </si>
  <si>
    <t>ПЗ 33 16</t>
  </si>
  <si>
    <t>Помещения экстракорпорального оплодотворения</t>
  </si>
  <si>
    <t>ПЗ 33 16 01</t>
  </si>
  <si>
    <t>Манипуляционная для взятия яйцеклетки</t>
  </si>
  <si>
    <t>ПЗ 33 16 02</t>
  </si>
  <si>
    <t>Эмбриологическая лаборантская</t>
  </si>
  <si>
    <t>ПЗ 33 16 03</t>
  </si>
  <si>
    <t>Помещение сдачи спермы</t>
  </si>
  <si>
    <t>ПЗ 33 16 04</t>
  </si>
  <si>
    <t>Лаборатория экстракорпорального оплодотворения</t>
  </si>
  <si>
    <t>ПЗ 33 16 05</t>
  </si>
  <si>
    <t>Криохранилище</t>
  </si>
  <si>
    <t>ПЗ 33 17</t>
  </si>
  <si>
    <t>Помещения операционные</t>
  </si>
  <si>
    <t>ПЗ 33 17 01</t>
  </si>
  <si>
    <t>Гибридная операционная</t>
  </si>
  <si>
    <t>ПЗ 33 17 02</t>
  </si>
  <si>
    <t>Предоперационная</t>
  </si>
  <si>
    <t>ПЗ 33 17 03</t>
  </si>
  <si>
    <t>Операционная</t>
  </si>
  <si>
    <t>ПЗ 33 17 04</t>
  </si>
  <si>
    <t>Постоперационная</t>
  </si>
  <si>
    <t>ПЗ 33 17 05</t>
  </si>
  <si>
    <t>Малая операционная</t>
  </si>
  <si>
    <t>ПЗ 33 17 06</t>
  </si>
  <si>
    <t>Операционная общепрофильная</t>
  </si>
  <si>
    <t>ПЗ 33 17 07</t>
  </si>
  <si>
    <t>Операционная для проведения ортопедо-травматологических операций</t>
  </si>
  <si>
    <t>ПЗ 33 17 08</t>
  </si>
  <si>
    <t>Операционная для проведения нейрохирургических операций</t>
  </si>
  <si>
    <t>ПЗ 33 17 09</t>
  </si>
  <si>
    <t>Операционная для операций на сердце АИК</t>
  </si>
  <si>
    <t>ПЗ 33 17 10</t>
  </si>
  <si>
    <t>Предоперационная для одной общепрофильной операционной</t>
  </si>
  <si>
    <t>ПЗ 33 17 11</t>
  </si>
  <si>
    <t>Предоперационная для двух общепрофильных (одной специализированной) операционных</t>
  </si>
  <si>
    <t>ПЗ 33 17 12</t>
  </si>
  <si>
    <t>Помещение подготовки больного, наркозная</t>
  </si>
  <si>
    <t>ПЗ 33 17 13</t>
  </si>
  <si>
    <t>Протокольная</t>
  </si>
  <si>
    <t>ПЗ 33 17 14</t>
  </si>
  <si>
    <t>Помещение хранения послеоперационных отходов</t>
  </si>
  <si>
    <t>ПЗ 33 17 15</t>
  </si>
  <si>
    <t>Рентгеноперационная</t>
  </si>
  <si>
    <t>ПЗ 33 18</t>
  </si>
  <si>
    <t>Помещения патолого-анатомические</t>
  </si>
  <si>
    <t>ПЗ 33 18 01</t>
  </si>
  <si>
    <t>Помещение приема трупов</t>
  </si>
  <si>
    <t>ПЗ 33 18 02</t>
  </si>
  <si>
    <t>Кладовая хранения вещей умерших</t>
  </si>
  <si>
    <t>ПЗ 33 18 03</t>
  </si>
  <si>
    <t>Помещение временного хранения трупов</t>
  </si>
  <si>
    <t>ПЗ 33 18 04</t>
  </si>
  <si>
    <t>Секционная</t>
  </si>
  <si>
    <t>ПЗ 33 18 05</t>
  </si>
  <si>
    <t>Предсекционная</t>
  </si>
  <si>
    <t>ПЗ 33 18 06</t>
  </si>
  <si>
    <t>Препараторская</t>
  </si>
  <si>
    <t>ПЗ 33 18 07</t>
  </si>
  <si>
    <t>Фиксационная</t>
  </si>
  <si>
    <t>ПЗ 33 18 08</t>
  </si>
  <si>
    <t>Комната приема биопсийного и аутопсийного материала</t>
  </si>
  <si>
    <t>ПЗ 33 18 09</t>
  </si>
  <si>
    <t>Архив влажного биопсийного и аутопсийного материала</t>
  </si>
  <si>
    <t>ПЗ 33 18 10</t>
  </si>
  <si>
    <t>Архив микропрепаратов и блоков биопсий</t>
  </si>
  <si>
    <t>ПЗ 33 18 11</t>
  </si>
  <si>
    <t>Помещение одевания трупов</t>
  </si>
  <si>
    <t>ПЗ 33 18 12</t>
  </si>
  <si>
    <t>Кладовые консервирующих растворов, ядов и летучих веществ</t>
  </si>
  <si>
    <t>ПЗ 33 18 13</t>
  </si>
  <si>
    <t>Кладовая похоронных принадлежностей</t>
  </si>
  <si>
    <t>ПЗ 33 18 14</t>
  </si>
  <si>
    <t>Траурный зал</t>
  </si>
  <si>
    <t>ПЗ 33 18 15</t>
  </si>
  <si>
    <t>Помещение хранения урн с прахом</t>
  </si>
  <si>
    <t>ПЗ 33 18 16</t>
  </si>
  <si>
    <t>Помещение священнослужителя</t>
  </si>
  <si>
    <t>ПЗ 33 18 17</t>
  </si>
  <si>
    <t>Кабинет врачебного освидетельствования</t>
  </si>
  <si>
    <t>ПЗ 33 18 18</t>
  </si>
  <si>
    <t>Кабинет для работы с документами</t>
  </si>
  <si>
    <t>ПЗ 33 18 19</t>
  </si>
  <si>
    <t>Архив гистологического материала</t>
  </si>
  <si>
    <t>ПЗ 33 19</t>
  </si>
  <si>
    <t>Помещения переливания крови</t>
  </si>
  <si>
    <t>ПЗ 33 19 01</t>
  </si>
  <si>
    <t>Помещение хранения и подготовки крови и кровезаменителей к переливанию</t>
  </si>
  <si>
    <t>ПЗ 33 20</t>
  </si>
  <si>
    <t>Помещения реанимации и интенсивной терапии</t>
  </si>
  <si>
    <t>ПЗ 33 20 01</t>
  </si>
  <si>
    <t>Палата интенсивной терапии</t>
  </si>
  <si>
    <t>ПЗ 33 20 02</t>
  </si>
  <si>
    <t>Палата реанимации</t>
  </si>
  <si>
    <t>ПЗ 33 20 03</t>
  </si>
  <si>
    <t>Предреанимационная</t>
  </si>
  <si>
    <t>ПЗ 33 20 04</t>
  </si>
  <si>
    <t>Реанимационный зал</t>
  </si>
  <si>
    <t>ПЗ 33 21</t>
  </si>
  <si>
    <t>Помещения инфекционные</t>
  </si>
  <si>
    <t>ПЗ 33 21 01</t>
  </si>
  <si>
    <t>Инфекционная палата</t>
  </si>
  <si>
    <t>ПЗ 33 21 02</t>
  </si>
  <si>
    <t>Туберкулезная палата</t>
  </si>
  <si>
    <t>ПЗ 33 22</t>
  </si>
  <si>
    <t>Помещения психиатрии</t>
  </si>
  <si>
    <t>ПЗ 33 22 01</t>
  </si>
  <si>
    <t>Психиатрическая палата</t>
  </si>
  <si>
    <t>ПЗ 33 22 02</t>
  </si>
  <si>
    <t>Психиатрическая надзорная палата</t>
  </si>
  <si>
    <t>ПЗ 33 23</t>
  </si>
  <si>
    <t>Помещения наркологии</t>
  </si>
  <si>
    <t>ПЗ 33 23 01</t>
  </si>
  <si>
    <t>Наркологическая палата</t>
  </si>
  <si>
    <t>ПЗ 33 24</t>
  </si>
  <si>
    <t>Помещения стоматологии</t>
  </si>
  <si>
    <t>ПЗ 33 24 01</t>
  </si>
  <si>
    <t>Кабинет терапевта стоматолога</t>
  </si>
  <si>
    <t>ПЗ 33 24 02</t>
  </si>
  <si>
    <t>Кабинет хирурга стоматолога</t>
  </si>
  <si>
    <t>ПЗ 33 24 03</t>
  </si>
  <si>
    <t>Кабинет ортодонта</t>
  </si>
  <si>
    <t>ПЗ 33 24 04</t>
  </si>
  <si>
    <t>Кабинет детского стоматолога</t>
  </si>
  <si>
    <t>ПЗ 33 24 05</t>
  </si>
  <si>
    <t>Кабинет гигиены полости рта</t>
  </si>
  <si>
    <t>ПЗ 33 24 06</t>
  </si>
  <si>
    <t>Рентгеновский дентальный кабинет</t>
  </si>
  <si>
    <t>ПЗ 33 25</t>
  </si>
  <si>
    <t>Помещения восстановительного лечения</t>
  </si>
  <si>
    <t>ПЗ 33 25 01</t>
  </si>
  <si>
    <t>Кабинет электросветолечения</t>
  </si>
  <si>
    <t>ПЗ 33 25 02</t>
  </si>
  <si>
    <t>Кабинет лазерной терапии</t>
  </si>
  <si>
    <t>ПЗ 33 25 03</t>
  </si>
  <si>
    <t>Кабинет гидротерапии</t>
  </si>
  <si>
    <t>ПЗ 33 25 04</t>
  </si>
  <si>
    <t>Кабинет ультравысокочастотной терапии (УВЧ)</t>
  </si>
  <si>
    <t>ПЗ 33 25 05</t>
  </si>
  <si>
    <t>Кабинет микроволновой терапии (СВЧ)</t>
  </si>
  <si>
    <t>ПЗ 33 25 06</t>
  </si>
  <si>
    <t>Кабинет ультрафиолетового облучения (УФ)</t>
  </si>
  <si>
    <t>ПЗ 33 25 07</t>
  </si>
  <si>
    <t>Кабинет физиотерапии</t>
  </si>
  <si>
    <t>ПЗ 33 25 08</t>
  </si>
  <si>
    <t>Кабинет теплолечения</t>
  </si>
  <si>
    <t>ПЗ 33 25 09</t>
  </si>
  <si>
    <t>Кабинет магнитотерапии</t>
  </si>
  <si>
    <t>ПЗ 33 25 10</t>
  </si>
  <si>
    <t>Кабинет кислородной терапии</t>
  </si>
  <si>
    <t>ПЗ 33 25 11</t>
  </si>
  <si>
    <t>Кабинет иглорефлексотерапии</t>
  </si>
  <si>
    <t>ПЗ 33 25 12</t>
  </si>
  <si>
    <t>Кабинет лечения электросном</t>
  </si>
  <si>
    <t>ПЗ 33 25 13</t>
  </si>
  <si>
    <t>Кабинет для занятий малых групп (до 5 чел)</t>
  </si>
  <si>
    <t>ПЗ 33 25 14</t>
  </si>
  <si>
    <t>Кабинет для занятий групп (более 5 чел)</t>
  </si>
  <si>
    <t>ПЗ 33 25 15</t>
  </si>
  <si>
    <t>Кабинет индивидуальной условно-рефлекторной терапии</t>
  </si>
  <si>
    <t>ПЗ 33 25 16</t>
  </si>
  <si>
    <t>Кабинет групповой условно-рефлекторной терапии</t>
  </si>
  <si>
    <t>ПЗ 33 25 17</t>
  </si>
  <si>
    <t>Кабинет грязелечения, ванный зал</t>
  </si>
  <si>
    <t>ПЗ 33 25 18</t>
  </si>
  <si>
    <t>Кабинет ингаляционной терапии</t>
  </si>
  <si>
    <t>ПЗ 33 25 19</t>
  </si>
  <si>
    <t>Процедурная галотерапии</t>
  </si>
  <si>
    <t>ПЗ 33 25 20</t>
  </si>
  <si>
    <t>Процедурная спелеотерапии</t>
  </si>
  <si>
    <t>ПЗ 33 25 21</t>
  </si>
  <si>
    <t>Солярий вертикальный</t>
  </si>
  <si>
    <t>ПЗ 33 25 22</t>
  </si>
  <si>
    <t>Солярий горизонтальный</t>
  </si>
  <si>
    <t>ПЗ 33 25 23</t>
  </si>
  <si>
    <t>Зал лечебной физкультуры групповых занятий</t>
  </si>
  <si>
    <t>ПЗ 33 25 24</t>
  </si>
  <si>
    <t>Тренажерный зал</t>
  </si>
  <si>
    <t>ПЗ 33 25 25</t>
  </si>
  <si>
    <t>Зал обучения ходьбе</t>
  </si>
  <si>
    <t>ПЗ 33 25 26</t>
  </si>
  <si>
    <t>Кабинет механотерапии</t>
  </si>
  <si>
    <t>ПЗ 33 25 27</t>
  </si>
  <si>
    <t>Кабинет трудотерапии</t>
  </si>
  <si>
    <t>ПЗ 33 25 28</t>
  </si>
  <si>
    <t>Кабинет массажа</t>
  </si>
  <si>
    <t>ПЗ 33 25 29</t>
  </si>
  <si>
    <t>Кабинет мануальной терапии</t>
  </si>
  <si>
    <t>ПЗ 33 25 30</t>
  </si>
  <si>
    <t>Душевой зал с кафедрой</t>
  </si>
  <si>
    <t>ПЗ 33 25 31</t>
  </si>
  <si>
    <t>Помещение подводного душа-массажа</t>
  </si>
  <si>
    <t>ПЗ 33 25 32</t>
  </si>
  <si>
    <t>Помещение вихревой ванны</t>
  </si>
  <si>
    <t>ПЗ 33 25 33</t>
  </si>
  <si>
    <t>Помещение вибрационной ванны</t>
  </si>
  <si>
    <t>ПЗ 33 25 34</t>
  </si>
  <si>
    <t>Помещение четырехкамерной ванны</t>
  </si>
  <si>
    <t>ПЗ 33 25 35</t>
  </si>
  <si>
    <t>Помещение контрастных ванн</t>
  </si>
  <si>
    <t>ПЗ 33 25 36</t>
  </si>
  <si>
    <t>Процедурная кабинета МРТ</t>
  </si>
  <si>
    <t>ПЗ 33 25 37</t>
  </si>
  <si>
    <t>Комната управления МРТ</t>
  </si>
  <si>
    <t>ПЗ 33 25 38</t>
  </si>
  <si>
    <t>Подготовительная пациента при кабинете МРТ</t>
  </si>
  <si>
    <t>ПЗ 33 25 39</t>
  </si>
  <si>
    <t>Лекотека</t>
  </si>
  <si>
    <t>ПЗ 33 25 40</t>
  </si>
  <si>
    <t>Кабинет магнитотурботрона</t>
  </si>
  <si>
    <t>ПЗ 33 25 41</t>
  </si>
  <si>
    <t>Кабинет экстракорпоральной ударно-волновой терапии</t>
  </si>
  <si>
    <t>ПЗ 33 25 42</t>
  </si>
  <si>
    <t>Кабинет гипнотария</t>
  </si>
  <si>
    <t>ПЗ 33 25 43</t>
  </si>
  <si>
    <t>Кабинет фотария</t>
  </si>
  <si>
    <t>ПЗ 33 25 44</t>
  </si>
  <si>
    <t>Бассейн обучению ходьбе взрослых</t>
  </si>
  <si>
    <t>ПЗ 33 25 45</t>
  </si>
  <si>
    <t>Помещение детского лечебного плавательного бассейна (на 8 мест)</t>
  </si>
  <si>
    <t>ПЗ 33 25 46</t>
  </si>
  <si>
    <t>Кабинет водолечения и обучения новорожденных плаванью</t>
  </si>
  <si>
    <t>ПЗ 33 25 47</t>
  </si>
  <si>
    <t>Помещение с ванной для горизонтального подводного вытяжения позвоночника с подъемником</t>
  </si>
  <si>
    <t>ПЗ 33 25 48</t>
  </si>
  <si>
    <t>Помещение с ванной для вертикального вытяжения позвоночника на 2 места</t>
  </si>
  <si>
    <t>ПЗ 33 25 49</t>
  </si>
  <si>
    <t>Зал лечебной физкультуры для индивидуальных занятий</t>
  </si>
  <si>
    <t>ПЗ 33 25 50</t>
  </si>
  <si>
    <t>Зал лечебной физкультуры для занятий малых групп (до 4-х)</t>
  </si>
  <si>
    <t>ПЗ 33 25 51</t>
  </si>
  <si>
    <t>Помещения для бытовой реабилитации</t>
  </si>
  <si>
    <t>ПЗ 33 26</t>
  </si>
  <si>
    <t>Помещения родильные</t>
  </si>
  <si>
    <t>ПЗ 33 26 01</t>
  </si>
  <si>
    <t>Индивидуальная родовая</t>
  </si>
  <si>
    <t>ПЗ 33 26 02</t>
  </si>
  <si>
    <t>Предродовая палата</t>
  </si>
  <si>
    <t>ПЗ 33 26 03</t>
  </si>
  <si>
    <t>Изолятор для новорожденных</t>
  </si>
  <si>
    <t>ПЗ 33 26 04</t>
  </si>
  <si>
    <t>Послеродовая палата</t>
  </si>
  <si>
    <t>ПЗ 33 27</t>
  </si>
  <si>
    <t>Палаты и медицинские кабинеты</t>
  </si>
  <si>
    <t>ПЗ 33 27 01</t>
  </si>
  <si>
    <t>Диагностическая</t>
  </si>
  <si>
    <t>ПЗ 33 27 02</t>
  </si>
  <si>
    <t>Фильтр для приема рожениц и беременных</t>
  </si>
  <si>
    <t>ПЗ 33 27 03</t>
  </si>
  <si>
    <t>Бокс приемно-смотровой</t>
  </si>
  <si>
    <t>ПЗ 33 27 04</t>
  </si>
  <si>
    <t>Фильтр-бокс</t>
  </si>
  <si>
    <t>ПЗ 33 27 05</t>
  </si>
  <si>
    <t>Изолятор</t>
  </si>
  <si>
    <t>ПЗ 33 27 06</t>
  </si>
  <si>
    <t>Палата восстановительного лечения</t>
  </si>
  <si>
    <t>ПЗ 33 27 07</t>
  </si>
  <si>
    <t>Кабинет врача-педиатра</t>
  </si>
  <si>
    <t>ПЗ 33 27 08</t>
  </si>
  <si>
    <t>Кабинет генетика</t>
  </si>
  <si>
    <t>ПЗ 33 27 09</t>
  </si>
  <si>
    <t>Кабинет гинеколога</t>
  </si>
  <si>
    <t>ПЗ 33 27 10</t>
  </si>
  <si>
    <t>Кабинет забора крови</t>
  </si>
  <si>
    <t>ПЗ 33 27 11</t>
  </si>
  <si>
    <t>Кабинет лучевой терапии</t>
  </si>
  <si>
    <t>ПЗ 33 27 12</t>
  </si>
  <si>
    <t>Кабинет ортопеда</t>
  </si>
  <si>
    <t>ПЗ 33 27 13</t>
  </si>
  <si>
    <t>Кабинет отоларинголога</t>
  </si>
  <si>
    <t>ПЗ 33 27 14</t>
  </si>
  <si>
    <t>Кабинет офтальмолога</t>
  </si>
  <si>
    <t>ПЗ 33 27 15</t>
  </si>
  <si>
    <t>Кабинет предрейсовых осмотров</t>
  </si>
  <si>
    <t>ПЗ 33 27 16</t>
  </si>
  <si>
    <t>Кабинет проктолога</t>
  </si>
  <si>
    <t>ПЗ 33 27 17</t>
  </si>
  <si>
    <t>Кабинет психолога</t>
  </si>
  <si>
    <t>ПЗ 33 27 18</t>
  </si>
  <si>
    <t>Кабинет социального работника</t>
  </si>
  <si>
    <t>ПЗ 33 27 19</t>
  </si>
  <si>
    <t>Кабинет терапевта</t>
  </si>
  <si>
    <t>ПЗ 33 27 20</t>
  </si>
  <si>
    <t>Кабинет уролога</t>
  </si>
  <si>
    <t>ПЗ 33 27 21</t>
  </si>
  <si>
    <t>Кабинет фельдшера</t>
  </si>
  <si>
    <t>ПЗ 33 27 22</t>
  </si>
  <si>
    <t>Кабинет хирурга</t>
  </si>
  <si>
    <t>ПЗ 33 27 23</t>
  </si>
  <si>
    <t>Кабинет юриста</t>
  </si>
  <si>
    <t>ПЗ 33 27 24</t>
  </si>
  <si>
    <t>Кабинет функциональной диагностики</t>
  </si>
  <si>
    <t>ПЗ 33 27 26</t>
  </si>
  <si>
    <t>Кабинет лечебной физкультуры и массажа</t>
  </si>
  <si>
    <t>ПЗ 33 27 27</t>
  </si>
  <si>
    <t>Медико-социальная палата</t>
  </si>
  <si>
    <t>ПЗ 33 27 28</t>
  </si>
  <si>
    <t>Медицинское помещение</t>
  </si>
  <si>
    <t>ПЗ 33 27 29</t>
  </si>
  <si>
    <t>Нейрохирургическая палата</t>
  </si>
  <si>
    <t>ПЗ 33 27 30</t>
  </si>
  <si>
    <t>Ожоговая палата</t>
  </si>
  <si>
    <t>ПЗ 33 27 31</t>
  </si>
  <si>
    <t>Ортопедотравматическая палата</t>
  </si>
  <si>
    <t>ПЗ 33 27 32</t>
  </si>
  <si>
    <t>Палата</t>
  </si>
  <si>
    <t>ПЗ 33 27 33</t>
  </si>
  <si>
    <t>Перевязочная палата</t>
  </si>
  <si>
    <t>ПЗ 33 27 34</t>
  </si>
  <si>
    <t>Процедурная для прививок</t>
  </si>
  <si>
    <t>ПЗ 33 27 35</t>
  </si>
  <si>
    <t>Процедурный кабинет</t>
  </si>
  <si>
    <t>ПЗ 33 27 36</t>
  </si>
  <si>
    <t>Радиологическая</t>
  </si>
  <si>
    <t>ПЗ 33 27 37</t>
  </si>
  <si>
    <t>Рентгеновский кабинет</t>
  </si>
  <si>
    <t>ПЗ 33 27 38</t>
  </si>
  <si>
    <t>Смотровая палата</t>
  </si>
  <si>
    <t>ПЗ 33 27 39</t>
  </si>
  <si>
    <t>Стерилизационная</t>
  </si>
  <si>
    <t>ПЗ 33 27 40</t>
  </si>
  <si>
    <t>Стерилизационная экстренной стерилизации</t>
  </si>
  <si>
    <t>ПЗ 33 27 41</t>
  </si>
  <si>
    <t>Помещение (с туалетом) временного пребывания пациента после амбулаторных оперативных вмешательств</t>
  </si>
  <si>
    <t>ПЗ 33 27 43</t>
  </si>
  <si>
    <t>Темная комната офтальмолога</t>
  </si>
  <si>
    <t>ПЗ 33 27 44</t>
  </si>
  <si>
    <t>Аудиометрическая кабина (кроме готовых изделий)</t>
  </si>
  <si>
    <t>ПЗ 33 27 45</t>
  </si>
  <si>
    <t>Процедурная эндоскопии</t>
  </si>
  <si>
    <t>ПЗ 33 27 46</t>
  </si>
  <si>
    <t>Кабинет эндоскопических исследований</t>
  </si>
  <si>
    <t>ПЗ 33 27 47</t>
  </si>
  <si>
    <t>Кабинет ультразвуковых исследований</t>
  </si>
  <si>
    <t>ПЗ 33 27 48</t>
  </si>
  <si>
    <t>Клизменная</t>
  </si>
  <si>
    <t>ПЗ 33 27 49</t>
  </si>
  <si>
    <t>Перевязочная с ванной и подъемником для ожоговых больных</t>
  </si>
  <si>
    <t>ПЗ 33 28</t>
  </si>
  <si>
    <t>Диагностические лаборатории</t>
  </si>
  <si>
    <t>ПЗ 33 28 01</t>
  </si>
  <si>
    <t>Лаборантская гематологическая</t>
  </si>
  <si>
    <t>ПЗ 33 28 02</t>
  </si>
  <si>
    <t>Лаборантская биохимическая</t>
  </si>
  <si>
    <t>ПЗ 33 28 03</t>
  </si>
  <si>
    <t>Лаборантская гистологическая</t>
  </si>
  <si>
    <t>ПЗ 33 28 04</t>
  </si>
  <si>
    <t>Лаборантская</t>
  </si>
  <si>
    <t>ПЗ 33 28 05</t>
  </si>
  <si>
    <t>Помещение приема и регистрации биоматериала для лабораторных исследований</t>
  </si>
  <si>
    <t>ПЗ 33 28 06</t>
  </si>
  <si>
    <t>Помещение взятия проб капиллярной крови</t>
  </si>
  <si>
    <t>ПЗ 33 28 07</t>
  </si>
  <si>
    <t>Лаборатория срочных анализов</t>
  </si>
  <si>
    <t>ПЗ 33 28 08</t>
  </si>
  <si>
    <t>Лаборатория радиоизотопной диагностики</t>
  </si>
  <si>
    <t>ПЗ 33 29</t>
  </si>
  <si>
    <t>Прочие помещения палатного отделения</t>
  </si>
  <si>
    <t>ПЗ 33 29 01</t>
  </si>
  <si>
    <t>Буфетная с оборудованием для мойки столовой посуды</t>
  </si>
  <si>
    <t>ПЗ 33 29 02</t>
  </si>
  <si>
    <t>Комната для игр детей</t>
  </si>
  <si>
    <t>ПЗ 33 29 03</t>
  </si>
  <si>
    <t>Помещение дневного пребывания детей и взрослых</t>
  </si>
  <si>
    <t>ПЗ 33 29 04</t>
  </si>
  <si>
    <t>Столовая для больных</t>
  </si>
  <si>
    <t>ПЗ 33 29 05</t>
  </si>
  <si>
    <t>Столовая для больных на креслах-колясках</t>
  </si>
  <si>
    <t>ПЗ 33 29 06</t>
  </si>
  <si>
    <t>Туалет с умывальником при палате</t>
  </si>
  <si>
    <t>ПЗ 33 29 07</t>
  </si>
  <si>
    <t>Душевая при палате</t>
  </si>
  <si>
    <t>ПЗ 33 29 08</t>
  </si>
  <si>
    <t>Совмещенный санузел палатного отделения</t>
  </si>
  <si>
    <t>ПЗ 33 29 09</t>
  </si>
  <si>
    <t>Ванная с подъемником</t>
  </si>
  <si>
    <t>ПЗ 33 30</t>
  </si>
  <si>
    <t>Помещения медперсонала</t>
  </si>
  <si>
    <t>ПЗ 33 30 01</t>
  </si>
  <si>
    <t>Помещение для персонала</t>
  </si>
  <si>
    <t>ПЗ 33 30 02</t>
  </si>
  <si>
    <t>Кабинет заведующего отделением</t>
  </si>
  <si>
    <t>ПЗ 33 30 03</t>
  </si>
  <si>
    <t>Помещение старшей медсестры</t>
  </si>
  <si>
    <t>ПЗ 33 30 04</t>
  </si>
  <si>
    <t>Ординаторская</t>
  </si>
  <si>
    <t>ПЗ 33 30 05</t>
  </si>
  <si>
    <t>Кабинет дежурного врача</t>
  </si>
  <si>
    <t>ПЗ 33 30 06</t>
  </si>
  <si>
    <t>Кабинет дежурной медсестры</t>
  </si>
  <si>
    <t>ПЗ 33 30 09</t>
  </si>
  <si>
    <t>Кабинет сестры-хозяйки</t>
  </si>
  <si>
    <t>ПЗ 33 31</t>
  </si>
  <si>
    <t>Вспомогательные медицинские помещения</t>
  </si>
  <si>
    <t>ПЗ 33 31 01</t>
  </si>
  <si>
    <t>Медицинский архив</t>
  </si>
  <si>
    <t>ПЗ 33 31 02</t>
  </si>
  <si>
    <t>Помещение для хранения предметов уборки и дезрастворов</t>
  </si>
  <si>
    <t>ПЗ 33 31 03</t>
  </si>
  <si>
    <t>Помещение хранения вакцин и медикаментов</t>
  </si>
  <si>
    <t>ПЗ 33 31 04</t>
  </si>
  <si>
    <t>Помещение временного хранения медицинских отходов</t>
  </si>
  <si>
    <t>ПЗ 33 31 05</t>
  </si>
  <si>
    <t>Помещение хранения чистого белья и постельных принадлежностей</t>
  </si>
  <si>
    <t>ПЗ 33 31 06</t>
  </si>
  <si>
    <t>Помещения хранения расходного материала и медикаментов</t>
  </si>
  <si>
    <t>ПЗ 33 31 07</t>
  </si>
  <si>
    <t>Помещение хранения наркотических средств и психотропных веществ</t>
  </si>
  <si>
    <t>ПЗ 33 31 08</t>
  </si>
  <si>
    <t>Кладовая вещей пациентов</t>
  </si>
  <si>
    <t>ПЗ 33 31 09</t>
  </si>
  <si>
    <t>Санитарная комната</t>
  </si>
  <si>
    <t>ПЗ 33 31 10</t>
  </si>
  <si>
    <t>Помещение для мойки и обработки эндоскопов</t>
  </si>
  <si>
    <t>ПЗ 33 31 11</t>
  </si>
  <si>
    <t>Помещение приготовления лекарств</t>
  </si>
  <si>
    <t>ПЗ 33 31 12</t>
  </si>
  <si>
    <t>Помещение временного хранения вещей больных</t>
  </si>
  <si>
    <t>ПЗ 33 31 13</t>
  </si>
  <si>
    <t>Санитарный пропускник для пациентов</t>
  </si>
  <si>
    <t>ПЗ 33 31 14</t>
  </si>
  <si>
    <t>Помещение для хранения инструментов, стерильного, шовного материалов, растворов</t>
  </si>
  <si>
    <t>ПЗ 33 31 15</t>
  </si>
  <si>
    <t>Помещение для мойки и обеззараживания наркозно-дыхательной аппаратуры</t>
  </si>
  <si>
    <t>ПЗ 33 31 16</t>
  </si>
  <si>
    <t>Кладовая наркозно-дыхательной аппаратуры</t>
  </si>
  <si>
    <t>ПЗ 33 31 17</t>
  </si>
  <si>
    <t>Помещение хранения и подготовки гипса и гипсовых бинтов</t>
  </si>
  <si>
    <t>ПЗ 33 31 18</t>
  </si>
  <si>
    <t>Комната психологической разгрузки</t>
  </si>
  <si>
    <t>ПЗ 33 31 19</t>
  </si>
  <si>
    <t>Автоклавная для обеззараживания</t>
  </si>
  <si>
    <t>ПЗ 33 31 20</t>
  </si>
  <si>
    <t>Помещение для слива</t>
  </si>
  <si>
    <t>ПЗ 33 31 21</t>
  </si>
  <si>
    <t>Шлюз</t>
  </si>
  <si>
    <t>ПЗ 33 31 22</t>
  </si>
  <si>
    <t>Шлюз при палате</t>
  </si>
  <si>
    <t>ПЗ 33 32</t>
  </si>
  <si>
    <t>Специализированные помещения</t>
  </si>
  <si>
    <t>ПЗ 33 32 01</t>
  </si>
  <si>
    <t>Гипсовочная</t>
  </si>
  <si>
    <t>ПЗ 33 32 02</t>
  </si>
  <si>
    <t>Литейная</t>
  </si>
  <si>
    <t>ПЗ 33 32 03</t>
  </si>
  <si>
    <t>Паяльная</t>
  </si>
  <si>
    <t>ПЗ 33 32 04</t>
  </si>
  <si>
    <t>Полимеризационная</t>
  </si>
  <si>
    <t>ПЗ 33 32 05</t>
  </si>
  <si>
    <t>Полировочная</t>
  </si>
  <si>
    <t>ПЗ 33 32 06</t>
  </si>
  <si>
    <t>Комната приготовления аллергенов</t>
  </si>
  <si>
    <t>ПЗ 33 32 07</t>
  </si>
  <si>
    <t>Кабина люминесцентной диагностики</t>
  </si>
  <si>
    <t>ПЗ 33 32 08</t>
  </si>
  <si>
    <t>Мазевая</t>
  </si>
  <si>
    <t>ПЗ 33 32 09</t>
  </si>
  <si>
    <t>Кабинет диабетической ретинопатии</t>
  </si>
  <si>
    <t>ПЗ 33 32 10</t>
  </si>
  <si>
    <t>Кабинет медицинского (наркологического) освидетельствования</t>
  </si>
  <si>
    <t>ПЗ 33 32 11</t>
  </si>
  <si>
    <t>Изолятор временного пребывания обследуемых на алкогольное опьянение</t>
  </si>
  <si>
    <t>ПЗ 33 32 14</t>
  </si>
  <si>
    <t>Барозал на 1 однокамерную барокамеру</t>
  </si>
  <si>
    <t>ПЗ 33 32 15</t>
  </si>
  <si>
    <t>Барозал на 2 одноместные барокамеры</t>
  </si>
  <si>
    <t>ПЗ 33 32 16</t>
  </si>
  <si>
    <t>Барозал на 1 многоместную барокамеру</t>
  </si>
  <si>
    <t>ПЗ 33 33</t>
  </si>
  <si>
    <t>Помещения лучевой диагностики</t>
  </si>
  <si>
    <t>ПЗ 33 33 01</t>
  </si>
  <si>
    <t>Кабинет компьютерной томографии</t>
  </si>
  <si>
    <t>ПЗ 33 33 02</t>
  </si>
  <si>
    <t>Кабинет магнитно-резонансной томографии</t>
  </si>
  <si>
    <t>ПЗ 33 33 03</t>
  </si>
  <si>
    <t>Рентгендиагностический кабинет для общих исследований</t>
  </si>
  <si>
    <t>ПЗ 33 33 04</t>
  </si>
  <si>
    <t>Кабинет рентгентерапии</t>
  </si>
  <si>
    <t>ПЗ 33 33 05</t>
  </si>
  <si>
    <t>Процедурная рентгенфлюорографическая</t>
  </si>
  <si>
    <t>ПЗ 33 33 06</t>
  </si>
  <si>
    <t>Процедурная маммографии</t>
  </si>
  <si>
    <t>ПЗ 33 33 07</t>
  </si>
  <si>
    <t>Процедурная маммографии с использованием специальных методов</t>
  </si>
  <si>
    <t>ПЗ 33 33 08</t>
  </si>
  <si>
    <t>Процедурная остеоденситометрии</t>
  </si>
  <si>
    <t>ПЗ 33 33 09</t>
  </si>
  <si>
    <t>Кабинет дистанционной лучевой радиотерапии</t>
  </si>
  <si>
    <t>ПЗ 33 33 10</t>
  </si>
  <si>
    <t>Кабинет контактной радиотерапии</t>
  </si>
  <si>
    <t>ПЗ 34</t>
  </si>
  <si>
    <t>Помещения производственного назначения</t>
  </si>
  <si>
    <t>ПЗ 34 10</t>
  </si>
  <si>
    <t>ПЗ 34 10 01</t>
  </si>
  <si>
    <t>Мастерская</t>
  </si>
  <si>
    <t>ПЗ 34 10 02</t>
  </si>
  <si>
    <t>Комната трудового обучения</t>
  </si>
  <si>
    <t>ПЗ 34 10 03</t>
  </si>
  <si>
    <t>Помещение копировально-множительных работ</t>
  </si>
  <si>
    <t>ПЗ 34 10 04</t>
  </si>
  <si>
    <t>Ремонтная мастерская</t>
  </si>
  <si>
    <t>ПЗ 34 12</t>
  </si>
  <si>
    <t>Складские помещения</t>
  </si>
  <si>
    <t>ПЗ 34 12 01</t>
  </si>
  <si>
    <t>Кладовая горючих товаров</t>
  </si>
  <si>
    <t>ПЗ 34 12 02</t>
  </si>
  <si>
    <t>Кладовая товаров в горючей упаковке</t>
  </si>
  <si>
    <t>ПЗ 34 12 03</t>
  </si>
  <si>
    <t>Расходный склад</t>
  </si>
  <si>
    <r>
      <rPr>
        <b/>
        <sz val="10"/>
        <rFont val="Times New Roman"/>
        <family val="1"/>
      </rPr>
      <t xml:space="preserve">КЛАССИФИКАТОРЫ ДЛЯ ИНФОРМАЦИОННОГО МОДЕЛИРОВАНИЯ. Часть 7. </t>
    </r>
    <r>
      <rPr>
        <sz val="10"/>
        <rFont val="Times New Roman"/>
        <family val="1"/>
      </rPr>
      <t>КЛАССИФИКАТОР «ЭЛЕМЕНТЫ». Москва 2024</t>
    </r>
  </si>
  <si>
    <t>Категория элементов</t>
  </si>
  <si>
    <t>Назначение элементов</t>
  </si>
  <si>
    <t>Класс элемента</t>
  </si>
  <si>
    <t>Подкласс элемента</t>
  </si>
  <si>
    <t>класс IFC</t>
  </si>
  <si>
    <t>ЭЛ 10</t>
  </si>
  <si>
    <t>Земляные сооружения, фундаменты</t>
  </si>
  <si>
    <t>ЭЛ 10 10</t>
  </si>
  <si>
    <t>Фундаменты</t>
  </si>
  <si>
    <t>ЭЛ 10 10 10</t>
  </si>
  <si>
    <t>Свая</t>
  </si>
  <si>
    <t>IfcPile</t>
  </si>
  <si>
    <t>ЭЛ 10 10 10 01</t>
  </si>
  <si>
    <t>Свая забивная</t>
  </si>
  <si>
    <t>ЭЛ 10 10 10 02</t>
  </si>
  <si>
    <t>Свая набивная</t>
  </si>
  <si>
    <t>ЭЛ 10 10 10 03</t>
  </si>
  <si>
    <t>Свая-оболочка</t>
  </si>
  <si>
    <t>ЭЛ 10 10 10 04</t>
  </si>
  <si>
    <t>Свая буровая</t>
  </si>
  <si>
    <t>ЭЛ 10 10 10 05</t>
  </si>
  <si>
    <t>Свая винтовая</t>
  </si>
  <si>
    <t>ЭЛ 10 10 12</t>
  </si>
  <si>
    <t>Ростверк</t>
  </si>
  <si>
    <t>IfcFooting</t>
  </si>
  <si>
    <t>ЭЛ 10 10 12 01</t>
  </si>
  <si>
    <t>Ростверк ленточный</t>
  </si>
  <si>
    <t>ЭЛ 10 10 12 02</t>
  </si>
  <si>
    <t>Ростверк столбчатый</t>
  </si>
  <si>
    <t>ЭЛ 10 10 12 03</t>
  </si>
  <si>
    <t>Балка ростверка</t>
  </si>
  <si>
    <t>ЭЛ 10 10 12 04</t>
  </si>
  <si>
    <t>Ростверк плитный</t>
  </si>
  <si>
    <t>ЭЛ 10 10 30</t>
  </si>
  <si>
    <t>Фундамент общего назначения</t>
  </si>
  <si>
    <t>ЭЛ 10 10 30 01</t>
  </si>
  <si>
    <t>Фундамент ленточный</t>
  </si>
  <si>
    <t>ЭЛ 10 10 30 02</t>
  </si>
  <si>
    <t>Фундамент столбчатый</t>
  </si>
  <si>
    <t>ЭЛ 10 10 30 03</t>
  </si>
  <si>
    <t>Фундаментная балка</t>
  </si>
  <si>
    <t>ЭЛ 10 10 30 04</t>
  </si>
  <si>
    <t>Фундаментная плита</t>
  </si>
  <si>
    <t>ЭЛ 10 10 40</t>
  </si>
  <si>
    <t>Фундаментный блок</t>
  </si>
  <si>
    <t>ЭЛ 10 10 40 01</t>
  </si>
  <si>
    <t>Фундаментный блок сплошной</t>
  </si>
  <si>
    <t>ЭЛ 10 10 40 02</t>
  </si>
  <si>
    <t>Фундаментный блок с вырезом</t>
  </si>
  <si>
    <t>ЭЛ 10 10 40 03</t>
  </si>
  <si>
    <t>Фундаментный блок пустотный</t>
  </si>
  <si>
    <t>ЭЛ 10 10 45</t>
  </si>
  <si>
    <t>Подливка фундамента</t>
  </si>
  <si>
    <t>ЭЛ 10 10 50</t>
  </si>
  <si>
    <t>Подколонник</t>
  </si>
  <si>
    <t>ЭЛ 10 10 65</t>
  </si>
  <si>
    <t>Бетонная подготовка</t>
  </si>
  <si>
    <t>ЭЛ 10 10 70</t>
  </si>
  <si>
    <t>Кесонный фундамент</t>
  </si>
  <si>
    <t>ЭЛ 10 20</t>
  </si>
  <si>
    <t>Подпорные стены</t>
  </si>
  <si>
    <t>ЭЛ 10 20 10</t>
  </si>
  <si>
    <t>Несущая стена в грунте</t>
  </si>
  <si>
    <t>ЭЛ 10 20 20</t>
  </si>
  <si>
    <t>Шпунт Ларсена</t>
  </si>
  <si>
    <t>ЭЛ 10 20 30</t>
  </si>
  <si>
    <t>Шпунт</t>
  </si>
  <si>
    <t>ЭЛ 10 20 40</t>
  </si>
  <si>
    <t>Подпорная стена</t>
  </si>
  <si>
    <t>ЭЛ 10 20 50</t>
  </si>
  <si>
    <t>Габион</t>
  </si>
  <si>
    <t>ЭЛ 10 25</t>
  </si>
  <si>
    <t>Основание</t>
  </si>
  <si>
    <t>ЭЛ 10 25 10</t>
  </si>
  <si>
    <t>Уплотненный трамбованием грунт</t>
  </si>
  <si>
    <t>IfcReinforcedSoil</t>
  </si>
  <si>
    <t>ЭЛ 10 25 20</t>
  </si>
  <si>
    <t>Укрепленный инъецированием грунт</t>
  </si>
  <si>
    <t>ЭЛ 10 25 30</t>
  </si>
  <si>
    <t>Грунтовая подушка</t>
  </si>
  <si>
    <t>ЭЛ 10 25 40</t>
  </si>
  <si>
    <t>Уплотненный укаткой грунт</t>
  </si>
  <si>
    <t>ЭЛ 10 25 50</t>
  </si>
  <si>
    <t>Предварительно обжатый грунт</t>
  </si>
  <si>
    <t>ЭЛ 10 25 60</t>
  </si>
  <si>
    <t>Дренирующий грунт</t>
  </si>
  <si>
    <t>ЭЛ 10 30</t>
  </si>
  <si>
    <t>Компоненты для защиты фундаментов</t>
  </si>
  <si>
    <t>ЭЛ 10 30 10</t>
  </si>
  <si>
    <t>Изоляция</t>
  </si>
  <si>
    <t>IfcCovering</t>
  </si>
  <si>
    <t>ЭЛ 10 30 20</t>
  </si>
  <si>
    <t>Пароизоляция</t>
  </si>
  <si>
    <t>ЭЛ 10 30 30</t>
  </si>
  <si>
    <t>Гидроизоляция</t>
  </si>
  <si>
    <t>ЭЛ 10 30 40</t>
  </si>
  <si>
    <t>Отмостка</t>
  </si>
  <si>
    <t>ЭЛ 10 40</t>
  </si>
  <si>
    <t>Земляные сооружения</t>
  </si>
  <si>
    <t>ЭЛ 10 40 10</t>
  </si>
  <si>
    <t>Банкет</t>
  </si>
  <si>
    <t>IfcGeographicElement</t>
  </si>
  <si>
    <t>ЭЛ 10 40 20</t>
  </si>
  <si>
    <t>Берма</t>
  </si>
  <si>
    <t>ЭЛ 10 40 30</t>
  </si>
  <si>
    <t>Вал</t>
  </si>
  <si>
    <t>ЭЛ 10 40 40</t>
  </si>
  <si>
    <t>Выемка</t>
  </si>
  <si>
    <t>ЭЛ 10 40 50</t>
  </si>
  <si>
    <t>Канава</t>
  </si>
  <si>
    <t>ЭЛ 10 40 60</t>
  </si>
  <si>
    <t>Котлован</t>
  </si>
  <si>
    <t>ЭЛ 10 40 70</t>
  </si>
  <si>
    <t>Кювет</t>
  </si>
  <si>
    <t>ЭЛ 10 40 80</t>
  </si>
  <si>
    <t>Насыпь</t>
  </si>
  <si>
    <t>ЭЛ 10 40 90</t>
  </si>
  <si>
    <t>Траншея</t>
  </si>
  <si>
    <t>ЭЛ 20</t>
  </si>
  <si>
    <t>Крыша</t>
  </si>
  <si>
    <t>ЭЛ 20 20</t>
  </si>
  <si>
    <t>Элементы конструкции крыши</t>
  </si>
  <si>
    <t>ЭЛ 20 20 04</t>
  </si>
  <si>
    <t>Кровля</t>
  </si>
  <si>
    <t>ЭЛ 20 20 05</t>
  </si>
  <si>
    <t>Брандмауэр</t>
  </si>
  <si>
    <t>ЭЛ 20 20 07</t>
  </si>
  <si>
    <t>Защитный фартук</t>
  </si>
  <si>
    <t>ЭЛ 20 20 10</t>
  </si>
  <si>
    <t>Контробрешетка</t>
  </si>
  <si>
    <t>ЭЛ 20 20 15</t>
  </si>
  <si>
    <t>Карнизная доска</t>
  </si>
  <si>
    <t>ЭЛ 20 20 20</t>
  </si>
  <si>
    <t>Мауэрлат</t>
  </si>
  <si>
    <t>ЭЛ 20 20 25</t>
  </si>
  <si>
    <t>Деревянный брус</t>
  </si>
  <si>
    <t>ЭЛ 20 20 30</t>
  </si>
  <si>
    <t>Обрешетка</t>
  </si>
  <si>
    <t>ЭЛ 20 20 35</t>
  </si>
  <si>
    <t>Стропильная балка</t>
  </si>
  <si>
    <t>ЭЛ 20 20 36</t>
  </si>
  <si>
    <t>Стропильная ферма</t>
  </si>
  <si>
    <t>IfcElementAssembly</t>
  </si>
  <si>
    <t>ЭЛ 20 20 37</t>
  </si>
  <si>
    <t>Подстропильная балка</t>
  </si>
  <si>
    <t>ifcBeam</t>
  </si>
  <si>
    <t>ЭЛ 20 20 38</t>
  </si>
  <si>
    <t>Подстропильная ферма</t>
  </si>
  <si>
    <t>ЭЛ 20 20 39</t>
  </si>
  <si>
    <t>Конек</t>
  </si>
  <si>
    <t>ЭЛ 20 20 40</t>
  </si>
  <si>
    <t>Коньковый брусок</t>
  </si>
  <si>
    <t>ЭЛ 20 20 45</t>
  </si>
  <si>
    <t>Коньковый прогон</t>
  </si>
  <si>
    <t>ЭЛ 20 20 46</t>
  </si>
  <si>
    <t>Лага</t>
  </si>
  <si>
    <t>IfcBeam</t>
  </si>
  <si>
    <t>ЭЛ 20 20 47</t>
  </si>
  <si>
    <t>Ребро</t>
  </si>
  <si>
    <t>ЭЛ 20 20 50</t>
  </si>
  <si>
    <t>Ригель кровельный</t>
  </si>
  <si>
    <t>ЭЛ 20 20 55</t>
  </si>
  <si>
    <t>Сплошной настил</t>
  </si>
  <si>
    <t>ЭЛ 20 20 60</t>
  </si>
  <si>
    <t>Ограждение кровли</t>
  </si>
  <si>
    <t>IfcRailing</t>
  </si>
  <si>
    <t>ЭЛ 20 30</t>
  </si>
  <si>
    <t>Компоненты для устройства кровли</t>
  </si>
  <si>
    <t>ЭЛ 20 30 10</t>
  </si>
  <si>
    <t>Ветрозащитный слой</t>
  </si>
  <si>
    <t>ЭЛ 20 30 12</t>
  </si>
  <si>
    <t>Водоизоляционный ковер</t>
  </si>
  <si>
    <t>ЭЛ 20 30 16</t>
  </si>
  <si>
    <t>Гидроизоляционный слой</t>
  </si>
  <si>
    <t>ЭЛ 20 30 17</t>
  </si>
  <si>
    <t>Ендова</t>
  </si>
  <si>
    <t>ifcCovering</t>
  </si>
  <si>
    <t>ЭЛ 20 30 18</t>
  </si>
  <si>
    <t>Капельник</t>
  </si>
  <si>
    <t>ЭЛ 20 30 20</t>
  </si>
  <si>
    <t>Крепление желоба</t>
  </si>
  <si>
    <t>IfcMechanicalFastener</t>
  </si>
  <si>
    <t>ЭЛ 20 30 22</t>
  </si>
  <si>
    <t>Кровельный аэратор</t>
  </si>
  <si>
    <t>IfcStackTerminal</t>
  </si>
  <si>
    <t>Мансардное окно</t>
  </si>
  <si>
    <t>ЭЛ 20 30 26</t>
  </si>
  <si>
    <t>Пароизоляционный слой</t>
  </si>
  <si>
    <t>ЭЛ 20 30 28</t>
  </si>
  <si>
    <t>Подкладочный ковер</t>
  </si>
  <si>
    <t>ЭЛ 20 30 30</t>
  </si>
  <si>
    <t>Подшивка карниза</t>
  </si>
  <si>
    <t>ЭЛ 20 30 32</t>
  </si>
  <si>
    <t>Предохранительный слой</t>
  </si>
  <si>
    <t>ЭЛ 20 30 34</t>
  </si>
  <si>
    <t>Пригруз</t>
  </si>
  <si>
    <t>ЭЛ 20 30 35</t>
  </si>
  <si>
    <t>Примыкание</t>
  </si>
  <si>
    <t>ЭЛ 20 30 36</t>
  </si>
  <si>
    <t>Противокорневой слой</t>
  </si>
  <si>
    <t>ЭЛ 20 30 38</t>
  </si>
  <si>
    <t>Разделительный слой</t>
  </si>
  <si>
    <t>ЭЛ 20 30 40</t>
  </si>
  <si>
    <t>Растительный слой</t>
  </si>
  <si>
    <t>ЭЛ 20 30 41</t>
  </si>
  <si>
    <t>Свес</t>
  </si>
  <si>
    <t>ЭЛ 20 30 42</t>
  </si>
  <si>
    <t>Слой усиления водоизоляционного ковра</t>
  </si>
  <si>
    <t>ЭЛ 20 30 44</t>
  </si>
  <si>
    <t>Снегозадержание</t>
  </si>
  <si>
    <t>ЭЛ 20 30 46</t>
  </si>
  <si>
    <t>Стяжка кровли</t>
  </si>
  <si>
    <t>ЭЛ 20 30 48</t>
  </si>
  <si>
    <t>Теплоизоляционный слой</t>
  </si>
  <si>
    <t>ЭЛ 20 90</t>
  </si>
  <si>
    <t>Армирование ЖБ элементов кровли</t>
  </si>
  <si>
    <t>IfcReinforcingElement</t>
  </si>
  <si>
    <t>ЭЛ 30</t>
  </si>
  <si>
    <t>Архитектурные и конструктивные элементы</t>
  </si>
  <si>
    <t>ЭЛ 30 10</t>
  </si>
  <si>
    <t>Ограждающие конструкции</t>
  </si>
  <si>
    <t>ЭЛ 30 10 25</t>
  </si>
  <si>
    <t>Настил</t>
  </si>
  <si>
    <t>ЭЛ 30 10 30</t>
  </si>
  <si>
    <t>Навес затеняющий</t>
  </si>
  <si>
    <t>IfcShadingDevice</t>
  </si>
  <si>
    <t>Панель навесная</t>
  </si>
  <si>
    <t>ЭЛ 30 10 45</t>
  </si>
  <si>
    <t>Потолок</t>
  </si>
  <si>
    <t>ЭЛ 30 10 46</t>
  </si>
  <si>
    <t>Потолок подвесной</t>
  </si>
  <si>
    <t>Плита балкона</t>
  </si>
  <si>
    <t>Плита лоджии</t>
  </si>
  <si>
    <t>Плита козырька здания</t>
  </si>
  <si>
    <t>Навесная фасадная система</t>
  </si>
  <si>
    <t>ЭЛ 30 10 61 01</t>
  </si>
  <si>
    <t>Панель навесного фасада</t>
  </si>
  <si>
    <t>Импост навесного фасада</t>
  </si>
  <si>
    <t>ЭЛ 30 10 65</t>
  </si>
  <si>
    <t>Обойма трубопровода</t>
  </si>
  <si>
    <t>IfcPipeSegment</t>
  </si>
  <si>
    <t>ЭЛ 30 10 69</t>
  </si>
  <si>
    <t>Деформационный шов</t>
  </si>
  <si>
    <t>ЭЛ 30 10 70</t>
  </si>
  <si>
    <t>Шов стыка конструкций</t>
  </si>
  <si>
    <t>ЭЛ 30 10 71</t>
  </si>
  <si>
    <t>Термовкладыш</t>
  </si>
  <si>
    <t>ЭЛ 30 10 72</t>
  </si>
  <si>
    <t>Прослойка из раствора</t>
  </si>
  <si>
    <t>ЭЛ 30 10 73</t>
  </si>
  <si>
    <t>Днище</t>
  </si>
  <si>
    <t>ЭЛ 30 10 74</t>
  </si>
  <si>
    <t>Днище бункера</t>
  </si>
  <si>
    <t>Плита перекрытия</t>
  </si>
  <si>
    <t>ЭЛ 30 12</t>
  </si>
  <si>
    <t>Ограждения</t>
  </si>
  <si>
    <t>ЭЛ 30 12 10</t>
  </si>
  <si>
    <t>Поручень</t>
  </si>
  <si>
    <t>ЭЛ 30 12 20</t>
  </si>
  <si>
    <t>Перила</t>
  </si>
  <si>
    <t>ЭЛ 30 12 40</t>
  </si>
  <si>
    <t>Отбойник</t>
  </si>
  <si>
    <t>ЭЛ 30 12 50</t>
  </si>
  <si>
    <t>Стойка ограждения</t>
  </si>
  <si>
    <t>ЭЛ 30 12 55</t>
  </si>
  <si>
    <t>Экран ограждения</t>
  </si>
  <si>
    <t>ЭЛ 30 12 60</t>
  </si>
  <si>
    <t>Балюстрада</t>
  </si>
  <si>
    <t>ЭЛ 30 14</t>
  </si>
  <si>
    <t>Проемы, ниши</t>
  </si>
  <si>
    <t>ЭЛ 30 14 10</t>
  </si>
  <si>
    <t>Проем</t>
  </si>
  <si>
    <t>IfcOpeningElement</t>
  </si>
  <si>
    <t>ЭЛ 30 14 20</t>
  </si>
  <si>
    <t>Отверстие</t>
  </si>
  <si>
    <t>ЭЛ 30 14 30</t>
  </si>
  <si>
    <t>Ниша</t>
  </si>
  <si>
    <t>ЭЛ 30 16</t>
  </si>
  <si>
    <t>Элементы конструкций</t>
  </si>
  <si>
    <t>ЭЛ 30 16 10</t>
  </si>
  <si>
    <t>Арка</t>
  </si>
  <si>
    <t>База колонны</t>
  </si>
  <si>
    <t>ЭЛ 30 16 20</t>
  </si>
  <si>
    <t>Балка</t>
  </si>
  <si>
    <t>ЭЛ 30 16 21</t>
  </si>
  <si>
    <t>Балка подкрановая</t>
  </si>
  <si>
    <t>ЭЛ 30 16 22</t>
  </si>
  <si>
    <t>Крановая эстакада</t>
  </si>
  <si>
    <t>Капитель</t>
  </si>
  <si>
    <t>IfcColumn/IfcSlab</t>
  </si>
  <si>
    <t>ЭЛ 30 16 30</t>
  </si>
  <si>
    <t>Каркас</t>
  </si>
  <si>
    <t>ЭЛ 30 16 35</t>
  </si>
  <si>
    <t>Карниз</t>
  </si>
  <si>
    <t>ЭЛ 30 16 36</t>
  </si>
  <si>
    <t>Кессон потолочный прямоугольный</t>
  </si>
  <si>
    <t>ЭЛ 30 16 37</t>
  </si>
  <si>
    <t>Кессон потолочный многогранный</t>
  </si>
  <si>
    <t>ЭЛ 30 16 38</t>
  </si>
  <si>
    <t>Косоур</t>
  </si>
  <si>
    <t>Колонна</t>
  </si>
  <si>
    <t>ЭЛ 30 16 41</t>
  </si>
  <si>
    <t>Колонна двухветвевая</t>
  </si>
  <si>
    <t>Фахверк</t>
  </si>
  <si>
    <t>ЭЛ 30 16 45</t>
  </si>
  <si>
    <t>Перемычка</t>
  </si>
  <si>
    <t>Пилон</t>
  </si>
  <si>
    <t>ЭЛ 30 16 52</t>
  </si>
  <si>
    <t>Пояс</t>
  </si>
  <si>
    <t>ЭЛ 30 16 55</t>
  </si>
  <si>
    <t>Рама</t>
  </si>
  <si>
    <t>ЭЛ 30 16 56</t>
  </si>
  <si>
    <t>Подкрановый рельс</t>
  </si>
  <si>
    <t>ЭЛ 30 16 61</t>
  </si>
  <si>
    <t>Рельс</t>
  </si>
  <si>
    <t>ЭЛ 30 16 62</t>
  </si>
  <si>
    <t>Монорельс</t>
  </si>
  <si>
    <t>ЭЛ 30 16 63</t>
  </si>
  <si>
    <t>Отдельные элементы конструкции мостов</t>
  </si>
  <si>
    <t>ЭЛ 30 16 63 01</t>
  </si>
  <si>
    <t>Устой</t>
  </si>
  <si>
    <t>ЭЛ 30 16 63 05</t>
  </si>
  <si>
    <t>Тело опоры</t>
  </si>
  <si>
    <t>ЭЛ 30 16 63 10</t>
  </si>
  <si>
    <t>ЭЛ 30 16 63 15</t>
  </si>
  <si>
    <t>Оголовок опоры</t>
  </si>
  <si>
    <t>ЭЛ 30 16 63 20</t>
  </si>
  <si>
    <t>Подферменник</t>
  </si>
  <si>
    <t>ЭЛ 30 16 63 25</t>
  </si>
  <si>
    <t>Стенка шкафная</t>
  </si>
  <si>
    <t>ЭЛ 30 16 63 30</t>
  </si>
  <si>
    <t>Открылок</t>
  </si>
  <si>
    <t>ЭЛ 30 16 63 35</t>
  </si>
  <si>
    <t>Ортотропная плита</t>
  </si>
  <si>
    <t>ЭЛ 30 16 63 40</t>
  </si>
  <si>
    <t>Сталежелезобетонное пролетное строение</t>
  </si>
  <si>
    <t>ЭЛ 30 16 63 45</t>
  </si>
  <si>
    <t>Поперечные связи</t>
  </si>
  <si>
    <t>ЭЛ 30 16 63 50</t>
  </si>
  <si>
    <t>Смотровой ход</t>
  </si>
  <si>
    <t>ЭЛ 30 16 65</t>
  </si>
  <si>
    <t>Ригель</t>
  </si>
  <si>
    <t>ЭЛ 30 16 75</t>
  </si>
  <si>
    <t>Стакан опорный оборудования</t>
  </si>
  <si>
    <t>ЭЛ 30 16 76</t>
  </si>
  <si>
    <t>Тяга фасадная</t>
  </si>
  <si>
    <t>ЭЛ 30 16 79</t>
  </si>
  <si>
    <t>Блок инженерных коммуникаций</t>
  </si>
  <si>
    <t>IfcElementQuantity</t>
  </si>
  <si>
    <t>ЭЛ 30 16 80</t>
  </si>
  <si>
    <t>Связь</t>
  </si>
  <si>
    <t>ЭЛ 30 16 81</t>
  </si>
  <si>
    <t>Ферма</t>
  </si>
  <si>
    <t>IfcElementAssembly IfcBeam</t>
  </si>
  <si>
    <t>ЭЛ 30 16 82</t>
  </si>
  <si>
    <t>Отдельные элементы решетчатых конструкций</t>
  </si>
  <si>
    <t>ЭЛ 30 16 82 01</t>
  </si>
  <si>
    <t>Верхний пояс фермы</t>
  </si>
  <si>
    <t>ЭЛ 30 16 82 02</t>
  </si>
  <si>
    <t>Нижний пояс фермы</t>
  </si>
  <si>
    <t>ЭЛ 30 16 82 03</t>
  </si>
  <si>
    <t>Раскос</t>
  </si>
  <si>
    <t>ЭЛ 30 16 82 04</t>
  </si>
  <si>
    <t>Опора</t>
  </si>
  <si>
    <t>ЭЛ 30 16 82 05</t>
  </si>
  <si>
    <t>Стойка</t>
  </si>
  <si>
    <t>ЭЛ 30 16 83</t>
  </si>
  <si>
    <t>Детали конструкций</t>
  </si>
  <si>
    <t>ЭЛ 30 16 83 01</t>
  </si>
  <si>
    <t>Пластина</t>
  </si>
  <si>
    <t>ЭЛ 30 16 83 02</t>
  </si>
  <si>
    <t>Пластина соединительная</t>
  </si>
  <si>
    <t>ЭЛ 30 16 83 03</t>
  </si>
  <si>
    <t xml:space="preserve">Планка соединительная    </t>
  </si>
  <si>
    <t>ЭЛ 30 16 83 04</t>
  </si>
  <si>
    <t xml:space="preserve">Плита опорная                    </t>
  </si>
  <si>
    <t>ЭЛ 30 16 83 05</t>
  </si>
  <si>
    <t xml:space="preserve">Столик опорный                 </t>
  </si>
  <si>
    <t>ЭЛ 30 16 83 06</t>
  </si>
  <si>
    <t xml:space="preserve">Ребро жесткости                 </t>
  </si>
  <si>
    <t>ЭЛ 30 16 83 07</t>
  </si>
  <si>
    <t xml:space="preserve">Фланец                                </t>
  </si>
  <si>
    <t>ЭЛ 30 16 83 08</t>
  </si>
  <si>
    <t xml:space="preserve">Фасонка                               </t>
  </si>
  <si>
    <t>ЭЛ 30 16 83 09</t>
  </si>
  <si>
    <t xml:space="preserve">Фигурная деталь "Рыбка" </t>
  </si>
  <si>
    <t>ЭЛ 30 16 83 10</t>
  </si>
  <si>
    <t xml:space="preserve">Поясной лист                      </t>
  </si>
  <si>
    <t>ЭЛ 30 16 83 11</t>
  </si>
  <si>
    <t xml:space="preserve">Полка                                   </t>
  </si>
  <si>
    <t>ЭЛ 30 16 83 12</t>
  </si>
  <si>
    <t xml:space="preserve">Стенка                                 </t>
  </si>
  <si>
    <t>ЭЛ 30 16 83 13</t>
  </si>
  <si>
    <t xml:space="preserve">Металлоизоляция               </t>
  </si>
  <si>
    <t>ЭЛ 30 16 83 14</t>
  </si>
  <si>
    <t xml:space="preserve">Прокладка                           </t>
  </si>
  <si>
    <t>ЭЛ 30 18</t>
  </si>
  <si>
    <t>Окна, двери и ворота</t>
  </si>
  <si>
    <t>Балконный блок</t>
  </si>
  <si>
    <t>Ворота с ручным механизмом открывания</t>
  </si>
  <si>
    <t>Ворота с автоматическим механизмом открывания</t>
  </si>
  <si>
    <t>Дверь герметическая</t>
  </si>
  <si>
    <t>Дверь межкомнатная</t>
  </si>
  <si>
    <t>Дверь входная</t>
  </si>
  <si>
    <t>Балконная дверь</t>
  </si>
  <si>
    <t>Люк</t>
  </si>
  <si>
    <t>Люк герметический</t>
  </si>
  <si>
    <t>Ревизия, лючок</t>
  </si>
  <si>
    <t>Фонарь зенитный</t>
  </si>
  <si>
    <t>Панель оконная фонарная</t>
  </si>
  <si>
    <t>ЭЛ 30 18 52 20</t>
  </si>
  <si>
    <t>Фонарь световой</t>
  </si>
  <si>
    <t>ЭЛ 30 18 52 30</t>
  </si>
  <si>
    <t>Фонарь свето-аэрационный</t>
  </si>
  <si>
    <t>ЭЛ 30 19</t>
  </si>
  <si>
    <t>Доборные элементы</t>
  </si>
  <si>
    <t>ЭЛ 30 19 10</t>
  </si>
  <si>
    <t>Наличник</t>
  </si>
  <si>
    <t>ЭЛ 30 19 15</t>
  </si>
  <si>
    <t>Нащельник</t>
  </si>
  <si>
    <t>ЭЛ 30 19 26</t>
  </si>
  <si>
    <t>Порожек</t>
  </si>
  <si>
    <t>ЭЛ 30 19 30</t>
  </si>
  <si>
    <t>Откос</t>
  </si>
  <si>
    <t>ЭЛ 30 19 40</t>
  </si>
  <si>
    <t>Отлив</t>
  </si>
  <si>
    <t>ЭЛ 30 19 50</t>
  </si>
  <si>
    <t>Уголок</t>
  </si>
  <si>
    <t>ЭЛ 30 19 60</t>
  </si>
  <si>
    <t>Фаска</t>
  </si>
  <si>
    <t>IfcVoidingFeature</t>
  </si>
  <si>
    <t>ЭЛ 30 19 70</t>
  </si>
  <si>
    <t>Соединительная планка</t>
  </si>
  <si>
    <t>ЭЛ 30 19 80</t>
  </si>
  <si>
    <t>Подоконник</t>
  </si>
  <si>
    <t>ЭЛ 30 20</t>
  </si>
  <si>
    <t>Мусороудаление</t>
  </si>
  <si>
    <t>ЭЛ 30 20 10</t>
  </si>
  <si>
    <t>Ствол мусоропровода</t>
  </si>
  <si>
    <t>IfcChimney</t>
  </si>
  <si>
    <t>ЭЛ 30 20 20</t>
  </si>
  <si>
    <t>Загрузочный клапан мусоропровода</t>
  </si>
  <si>
    <t>ЭЛ 30 20 30</t>
  </si>
  <si>
    <t>Камера очистки ствола мусоропровода</t>
  </si>
  <si>
    <t>IfcSanitaryTerminal</t>
  </si>
  <si>
    <t>ЭЛ 30 24</t>
  </si>
  <si>
    <t>Лестницы и пандусы</t>
  </si>
  <si>
    <t>ЭЛ 30 24 10</t>
  </si>
  <si>
    <t>Лестничный марш</t>
  </si>
  <si>
    <t>IfcStairFlight</t>
  </si>
  <si>
    <t>Лестничная площадка</t>
  </si>
  <si>
    <t>Лестница-трап</t>
  </si>
  <si>
    <t>ЭЛ 30 24 41</t>
  </si>
  <si>
    <t>Подъем пандуса</t>
  </si>
  <si>
    <t>IfcRampFlight</t>
  </si>
  <si>
    <t>ЭЛ 30 24 42</t>
  </si>
  <si>
    <t>Подъем рампы</t>
  </si>
  <si>
    <t>Горизонтальная площадка пандуса</t>
  </si>
  <si>
    <t>Горизонтальная площадка рампы</t>
  </si>
  <si>
    <t>Рампа</t>
  </si>
  <si>
    <t>ЭЛ 30 25</t>
  </si>
  <si>
    <t>Печи, камины, очаги</t>
  </si>
  <si>
    <t>ЭЛ 30 25 10</t>
  </si>
  <si>
    <t>Камин</t>
  </si>
  <si>
    <t>ЭЛ 30 25 20</t>
  </si>
  <si>
    <t>Печь</t>
  </si>
  <si>
    <t>ЭЛ 30 25 30</t>
  </si>
  <si>
    <t>Очаг отопительный</t>
  </si>
  <si>
    <t>ЭЛ 30 25 40</t>
  </si>
  <si>
    <t>Очаг пищеварочный</t>
  </si>
  <si>
    <t>ЭЛ 30 25 50</t>
  </si>
  <si>
    <t>Дымоход</t>
  </si>
  <si>
    <t>ЭЛ 30 26</t>
  </si>
  <si>
    <t>Отделка стен</t>
  </si>
  <si>
    <t>ЭЛ 30 26 10</t>
  </si>
  <si>
    <t>Чистовая отделка стен</t>
  </si>
  <si>
    <t>ЭЛ 30 26 20</t>
  </si>
  <si>
    <t>Черновая отделка стен</t>
  </si>
  <si>
    <t>ЭЛ 30 28</t>
  </si>
  <si>
    <t>Отделка потолка</t>
  </si>
  <si>
    <t>ЭЛ 30 28 10</t>
  </si>
  <si>
    <t>Чистовая отделка потолка</t>
  </si>
  <si>
    <t>ЭЛ 30 28 20</t>
  </si>
  <si>
    <t>Черновая отделка потолка</t>
  </si>
  <si>
    <t>ЭЛ 30 29</t>
  </si>
  <si>
    <t>Детали декоративные</t>
  </si>
  <si>
    <t>ЭЛ 30 29 10</t>
  </si>
  <si>
    <t>Балясина</t>
  </si>
  <si>
    <t>ЭЛ 30 29 10 10</t>
  </si>
  <si>
    <t>Балясина рядовая</t>
  </si>
  <si>
    <t>ЭЛ 30 29 10 20</t>
  </si>
  <si>
    <t>Балясина угловая</t>
  </si>
  <si>
    <t>ЭЛ 30 29 15</t>
  </si>
  <si>
    <t>Ваза декоративная</t>
  </si>
  <si>
    <t>ЭЛ 30 29 20</t>
  </si>
  <si>
    <t>Герб</t>
  </si>
  <si>
    <t>ЭЛ 30 29 25</t>
  </si>
  <si>
    <t>Деталь декоративная</t>
  </si>
  <si>
    <t>ЭЛ 30 29 30</t>
  </si>
  <si>
    <t>Деталь декоративная погонная</t>
  </si>
  <si>
    <t>ЭЛ 30 29 35</t>
  </si>
  <si>
    <t>Розетка кессонная</t>
  </si>
  <si>
    <t>ЭЛ 30 29 40</t>
  </si>
  <si>
    <t>Капитель декоративная</t>
  </si>
  <si>
    <t>ЭЛ 30 29 50</t>
  </si>
  <si>
    <t>Фриз</t>
  </si>
  <si>
    <t>ЭЛ 30 29 55</t>
  </si>
  <si>
    <t>Плинтус</t>
  </si>
  <si>
    <t>ЭЛ 30 29 60</t>
  </si>
  <si>
    <t>Сухарь</t>
  </si>
  <si>
    <t>ЭЛ 30 29 60 10</t>
  </si>
  <si>
    <t>Сухарь гладкий</t>
  </si>
  <si>
    <t>ЭЛ 30 29 60 20</t>
  </si>
  <si>
    <t>Сухарь орнаментированный</t>
  </si>
  <si>
    <t>ЭЛ 30 29 65</t>
  </si>
  <si>
    <t>Шишка</t>
  </si>
  <si>
    <t>ЭЛ 30 29 65 10</t>
  </si>
  <si>
    <t>Шишка гладкая</t>
  </si>
  <si>
    <t>ЭЛ 30 29 65 20</t>
  </si>
  <si>
    <t>Шишка орнаментированная</t>
  </si>
  <si>
    <t>ЭЛ 30 29 70</t>
  </si>
  <si>
    <t>Кронштейн цементный</t>
  </si>
  <si>
    <t>ЭЛ 30 29 75</t>
  </si>
  <si>
    <t>Модульон</t>
  </si>
  <si>
    <t>Вспомогательные 3D-тела и формы</t>
  </si>
  <si>
    <t>Объем подземной части</t>
  </si>
  <si>
    <t>Объем надземной части</t>
  </si>
  <si>
    <t>ЭЛ 30 32</t>
  </si>
  <si>
    <t>Отделка (состав) пола</t>
  </si>
  <si>
    <t>ЭЛ 30 32 10</t>
  </si>
  <si>
    <t>Пол</t>
  </si>
  <si>
    <t>ЭЛ 30 32 15</t>
  </si>
  <si>
    <t>Гидроизоляция пола</t>
  </si>
  <si>
    <t>ЭЛ 30 32 20</t>
  </si>
  <si>
    <t>Теплоизоляция пола</t>
  </si>
  <si>
    <t>ЭЛ 30 32 25</t>
  </si>
  <si>
    <t>Звукоизоляция пола</t>
  </si>
  <si>
    <t>ЭЛ 30 32 30</t>
  </si>
  <si>
    <t>Стяжка пола</t>
  </si>
  <si>
    <t>ЭЛ 30 32 35</t>
  </si>
  <si>
    <t>Напольное покрытие</t>
  </si>
  <si>
    <t>ЭЛ 30 32 40</t>
  </si>
  <si>
    <t>Крепеж напольного покрытия (раствор, клей и т.п.)</t>
  </si>
  <si>
    <t>ЭЛ 30 32 45</t>
  </si>
  <si>
    <t>Основа пола, лаги</t>
  </si>
  <si>
    <t>ЭЛ 30 80</t>
  </si>
  <si>
    <t>Закладные детали</t>
  </si>
  <si>
    <t>ЭЛ 30 80 10</t>
  </si>
  <si>
    <t>Закладная деталь</t>
  </si>
  <si>
    <t>IfcDiscreteAccessory</t>
  </si>
  <si>
    <t>ЭЛ 30 90</t>
  </si>
  <si>
    <t>Армирование ж/б элементов</t>
  </si>
  <si>
    <t>ЭЛ 30 90 10</t>
  </si>
  <si>
    <t>Арматурный стержень</t>
  </si>
  <si>
    <t>IfcReinforcingBar</t>
  </si>
  <si>
    <t>ЭЛ 30 90 20</t>
  </si>
  <si>
    <t>Арматурная сетка</t>
  </si>
  <si>
    <t>IfcReinforcingMesh</t>
  </si>
  <si>
    <t>ЭЛ 30 90 30</t>
  </si>
  <si>
    <t>Преднапряженная арматура</t>
  </si>
  <si>
    <t>IfcTendon</t>
  </si>
  <si>
    <t>ЭЛ 30 90 40</t>
  </si>
  <si>
    <t>Арматурный канат</t>
  </si>
  <si>
    <t>ЭЛ 30 90 50</t>
  </si>
  <si>
    <t>Анкер преднапряженной арматуры/арматурного каната</t>
  </si>
  <si>
    <t>IfcTendonAnchor</t>
  </si>
  <si>
    <t>ЭЛ 30 90 60</t>
  </si>
  <si>
    <t>Арматурный каркас плоский</t>
  </si>
  <si>
    <t>ЭЛ 30 90 70</t>
  </si>
  <si>
    <t>Арматурный каркас пространственный</t>
  </si>
  <si>
    <t>ЭЛ 30 90 80</t>
  </si>
  <si>
    <t>С-образный фиксатор</t>
  </si>
  <si>
    <t>ЭЛ 30 90 81</t>
  </si>
  <si>
    <t>Спиральная арматура</t>
  </si>
  <si>
    <t>ЭЛ 30 90 82</t>
  </si>
  <si>
    <t>Фиксатор "лягушка"</t>
  </si>
  <si>
    <t>ЭЛ 35</t>
  </si>
  <si>
    <t>Контроль прохода и управления доступом</t>
  </si>
  <si>
    <t>ЭЛ 35 01</t>
  </si>
  <si>
    <t>Контроль прохода, доступа</t>
  </si>
  <si>
    <t>Турникет</t>
  </si>
  <si>
    <t>Шлагбаум</t>
  </si>
  <si>
    <t>ЭЛ 40</t>
  </si>
  <si>
    <t>Инженерное оснащение</t>
  </si>
  <si>
    <t>ЭЛ 40 10</t>
  </si>
  <si>
    <t>Подъемные и конвейерные механизмы</t>
  </si>
  <si>
    <t>IfcTransportElement</t>
  </si>
  <si>
    <t>ЭЛ 40 10 10</t>
  </si>
  <si>
    <t>Подъемный механизм</t>
  </si>
  <si>
    <t>ЭЛ 40 10 10 10</t>
  </si>
  <si>
    <t>Движущийся пандус</t>
  </si>
  <si>
    <t>ЭЛ 40 10 10 20</t>
  </si>
  <si>
    <t>Лифт</t>
  </si>
  <si>
    <t>ЭЛ 40 10 10 30</t>
  </si>
  <si>
    <t>Подъемник</t>
  </si>
  <si>
    <t>ЭЛ 40 10 10 40</t>
  </si>
  <si>
    <t>Подъемная платформа</t>
  </si>
  <si>
    <t>ЭЛ 40 10 10 50</t>
  </si>
  <si>
    <t>Эскалатор</t>
  </si>
  <si>
    <t>ЭЛ 40 10 10 60</t>
  </si>
  <si>
    <t>Элеватор</t>
  </si>
  <si>
    <t>ЭЛ 40 10 20</t>
  </si>
  <si>
    <t>Горизонтальный конвейерный механизм</t>
  </si>
  <si>
    <t>ЭЛ 40 10 20 10</t>
  </si>
  <si>
    <t>Конвейер</t>
  </si>
  <si>
    <t>ЭЛ 40 10 20 20</t>
  </si>
  <si>
    <t>Движущаяся лента</t>
  </si>
  <si>
    <t>ЭЛ 40 10 20 30</t>
  </si>
  <si>
    <t>Траволатор</t>
  </si>
  <si>
    <t>ЭЛ 40 15</t>
  </si>
  <si>
    <t>Водоснабжение, водоотведение, отопление, холодоснабжение, газоснабжение</t>
  </si>
  <si>
    <t>ЭЛ 40 15 10</t>
  </si>
  <si>
    <t>Труба</t>
  </si>
  <si>
    <t>ЭЛ 40 15 10 10</t>
  </si>
  <si>
    <t>ЭЛ 40 15 10 20</t>
  </si>
  <si>
    <t>Гибкая труба</t>
  </si>
  <si>
    <t>ЭЛ 40 15 20</t>
  </si>
  <si>
    <t>Трубопроводные фитинги</t>
  </si>
  <si>
    <t>IfcPipeFitting</t>
  </si>
  <si>
    <t>ЭЛ 40 15 20 10</t>
  </si>
  <si>
    <t>Врезка</t>
  </si>
  <si>
    <t>ЭЛ 40 15 20 15</t>
  </si>
  <si>
    <t>Грязевик</t>
  </si>
  <si>
    <t>ЭЛ 40 15 20 20</t>
  </si>
  <si>
    <t>Заглушка</t>
  </si>
  <si>
    <t>ЭЛ 40 15 20 25</t>
  </si>
  <si>
    <t>Крестовина</t>
  </si>
  <si>
    <t>ЭЛ 40 15 20 30</t>
  </si>
  <si>
    <t>Муфта</t>
  </si>
  <si>
    <t>ЭЛ 40 15 20 35</t>
  </si>
  <si>
    <t>Отвод</t>
  </si>
  <si>
    <t>ЭЛ 40 15 20 40</t>
  </si>
  <si>
    <t>ЭЛ 40 15 20 45</t>
  </si>
  <si>
    <t>Прокладка соединительная</t>
  </si>
  <si>
    <t>ЭЛ 40 15 20 50</t>
  </si>
  <si>
    <t>Ревизия канализационная</t>
  </si>
  <si>
    <t>IfcDistributionChamberElement</t>
  </si>
  <si>
    <t>ЭЛ 40 15 20 52</t>
  </si>
  <si>
    <t>Решетка водоприемная</t>
  </si>
  <si>
    <t>ЭЛ 40 15 20 55</t>
  </si>
  <si>
    <t>Тройник</t>
  </si>
  <si>
    <t>ЭЛ 40 15 20 60</t>
  </si>
  <si>
    <t>Фланец</t>
  </si>
  <si>
    <t>ЭЛ 40 15 21</t>
  </si>
  <si>
    <t>Коллекторные фитинги</t>
  </si>
  <si>
    <t>ЭЛ 40 15 30</t>
  </si>
  <si>
    <t>Трубопроводная арматура</t>
  </si>
  <si>
    <t>IfcValve</t>
  </si>
  <si>
    <t>ЭЛ 40 15 30 05</t>
  </si>
  <si>
    <t>Вентиль</t>
  </si>
  <si>
    <t>ЭЛ 40 15 30 10</t>
  </si>
  <si>
    <t>Задвижка</t>
  </si>
  <si>
    <t>ЭЛ 40 15 30 15</t>
  </si>
  <si>
    <t>Затвор трубопроводый</t>
  </si>
  <si>
    <t>ЭЛ 40 15 30 20</t>
  </si>
  <si>
    <t>Кран</t>
  </si>
  <si>
    <t>ЭЛ 40 15 30 21</t>
  </si>
  <si>
    <t>Кран поливочный</t>
  </si>
  <si>
    <t>ЭЛ 40 15 30 25</t>
  </si>
  <si>
    <t>Клапан</t>
  </si>
  <si>
    <t>ЭЛ 40 15 30 30</t>
  </si>
  <si>
    <t>Клапан обратный</t>
  </si>
  <si>
    <t>ЭЛ 40 15 30 35</t>
  </si>
  <si>
    <t>Клапан предохранительный</t>
  </si>
  <si>
    <t>ЭЛ 40 15 30 36</t>
  </si>
  <si>
    <t>Клапан приемный</t>
  </si>
  <si>
    <t>ЭЛ 40 15 30 37</t>
  </si>
  <si>
    <t>Клапан проходной</t>
  </si>
  <si>
    <t>ЭЛ 40 15 30 40</t>
  </si>
  <si>
    <t>Клапан регулирующий</t>
  </si>
  <si>
    <t>ЭЛ 40 15 30 55</t>
  </si>
  <si>
    <t>Клапан редукционный</t>
  </si>
  <si>
    <t>ЭЛ 40 15 30 56</t>
  </si>
  <si>
    <t>Муфта противопожарная</t>
  </si>
  <si>
    <t>ЭЛ 40 15 30 60</t>
  </si>
  <si>
    <t>Фильтр</t>
  </si>
  <si>
    <t>IfcFilter</t>
  </si>
  <si>
    <t>ЭЛ 40 15 30 65</t>
  </si>
  <si>
    <t>Компенсатор</t>
  </si>
  <si>
    <t>ЭЛ 40 15 30 70</t>
  </si>
  <si>
    <t>Конденсатоотводчик</t>
  </si>
  <si>
    <t>ЭЛ 40 15 31</t>
  </si>
  <si>
    <t>Водоотводные сооружения</t>
  </si>
  <si>
    <t>ЭЛ 40 15 31 01</t>
  </si>
  <si>
    <t>Лотки дренажные водоотводные</t>
  </si>
  <si>
    <t>IfcWasteTerminal</t>
  </si>
  <si>
    <t>ЭЛ 40 15 31 02</t>
  </si>
  <si>
    <t>Трубы ливневой канализации</t>
  </si>
  <si>
    <t>ЭЛ 40 15 31 03</t>
  </si>
  <si>
    <t>Лотки телескопические</t>
  </si>
  <si>
    <t>ЭЛ 40 15 31 04</t>
  </si>
  <si>
    <t>Колодец</t>
  </si>
  <si>
    <t>ЭЛ 40 15 31 05</t>
  </si>
  <si>
    <t>Камера</t>
  </si>
  <si>
    <t>ЭЛ 40 15 32</t>
  </si>
  <si>
    <t>Изоляция трубопроводов</t>
  </si>
  <si>
    <t>ЭЛ 40 15 33</t>
  </si>
  <si>
    <t>Узел напорного трубопровода</t>
  </si>
  <si>
    <t>ЭЛ 40 15 34</t>
  </si>
  <si>
    <t>Узел водомерный</t>
  </si>
  <si>
    <t>ЭЛ 40 15 35</t>
  </si>
  <si>
    <t>Узел тепловой</t>
  </si>
  <si>
    <t>ЭЛ 40 15 36</t>
  </si>
  <si>
    <t>Учет контроля жидкости</t>
  </si>
  <si>
    <t>ЭЛ 40 15 36 01</t>
  </si>
  <si>
    <t>Счетчик расхода воды</t>
  </si>
  <si>
    <t>IfcFlowMeter</t>
  </si>
  <si>
    <t>ЭЛ 40 15 37</t>
  </si>
  <si>
    <t>Оконечные устройства</t>
  </si>
  <si>
    <t>ЭЛ 40 15 38</t>
  </si>
  <si>
    <t>Футляр</t>
  </si>
  <si>
    <t>ЭЛ 40 20</t>
  </si>
  <si>
    <t>Вентиляция, кондиционирование</t>
  </si>
  <si>
    <t>ЭЛ 40 20 10</t>
  </si>
  <si>
    <t>Воздуховод</t>
  </si>
  <si>
    <t>IfcDuctSegment</t>
  </si>
  <si>
    <t>ЭЛ 40 20 10 10</t>
  </si>
  <si>
    <t>Воздуховод круглого сечения</t>
  </si>
  <si>
    <t>ЭЛ 40 20 10 20</t>
  </si>
  <si>
    <t>Воздуховод прямоугольного сечения</t>
  </si>
  <si>
    <t>ЭЛ 40 20 10 30</t>
  </si>
  <si>
    <t>Гибкий воздуховод</t>
  </si>
  <si>
    <t>ЭЛ 40 20 10 40</t>
  </si>
  <si>
    <t>Воздуховод плоскоовального сечения</t>
  </si>
  <si>
    <t>ЭЛ 40 20 20</t>
  </si>
  <si>
    <t>Фасонная часть воздуховода</t>
  </si>
  <si>
    <t>IfcDuctFitting</t>
  </si>
  <si>
    <t>ЭЛ 40 20 20 10</t>
  </si>
  <si>
    <t>Врезка круглая</t>
  </si>
  <si>
    <t>ЭЛ 40 20 20 12</t>
  </si>
  <si>
    <t>ЭЛ 40 20 20 14</t>
  </si>
  <si>
    <t>ЭЛ 40 20 20 16</t>
  </si>
  <si>
    <t>ЭЛ 40 20 20 18</t>
  </si>
  <si>
    <t>ЭЛ 40 20 20 20</t>
  </si>
  <si>
    <t>ЭЛ 40 20 20 22</t>
  </si>
  <si>
    <t>Врезка прямоугольная</t>
  </si>
  <si>
    <t>ЭЛ 40 20 20 24</t>
  </si>
  <si>
    <t>Врезка плоскоовальная</t>
  </si>
  <si>
    <t>ЭЛ 40 20 30</t>
  </si>
  <si>
    <t>Оконечные устройства воздуховода</t>
  </si>
  <si>
    <t>IfcAirTerminal</t>
  </si>
  <si>
    <t>ЭЛ 40 20 30 10</t>
  </si>
  <si>
    <t>Воздухораспределительная решетка</t>
  </si>
  <si>
    <t>ЭЛ 40 20 30 20</t>
  </si>
  <si>
    <t>Воздухораспределительная регулируемая решетка</t>
  </si>
  <si>
    <t>ЭЛ 40 20 30 30</t>
  </si>
  <si>
    <t>Диффузор</t>
  </si>
  <si>
    <t>ЭЛ 40 20 30 50</t>
  </si>
  <si>
    <t>Сетка декоративная</t>
  </si>
  <si>
    <t>ЭЛ 40 20 30 40</t>
  </si>
  <si>
    <t>Анемостат</t>
  </si>
  <si>
    <t>ЭЛ 40 20 40</t>
  </si>
  <si>
    <t>Вентиляционное изделие</t>
  </si>
  <si>
    <t>ЭЛ 40 20 40 10</t>
  </si>
  <si>
    <t>Адаптер</t>
  </si>
  <si>
    <t>ЭЛ 40 20 40 12</t>
  </si>
  <si>
    <t>Воздушная заслонка</t>
  </si>
  <si>
    <t>IfcDamper</t>
  </si>
  <si>
    <t>ЭЛ 40 20 40 14</t>
  </si>
  <si>
    <t>Воздушный клапан</t>
  </si>
  <si>
    <t>ЭЛ 40 20 40 16</t>
  </si>
  <si>
    <t>Воздушный фильтр</t>
  </si>
  <si>
    <t>ЭЛ 40 20 40 18</t>
  </si>
  <si>
    <t>Дефлектор</t>
  </si>
  <si>
    <t>ЭЛ 40 20 40 20</t>
  </si>
  <si>
    <t>Зонт</t>
  </si>
  <si>
    <t>ЭЛ 40 20 40 24</t>
  </si>
  <si>
    <t>Колпак</t>
  </si>
  <si>
    <t>ЭЛ 40 20 40 25</t>
  </si>
  <si>
    <t>ЭЛ 40 20 40 26</t>
  </si>
  <si>
    <t>Клапан лепестковый</t>
  </si>
  <si>
    <t>ЭЛ 40 20 40 27</t>
  </si>
  <si>
    <t>Клапан перекидной</t>
  </si>
  <si>
    <t>ЭЛ 40 20 40 28</t>
  </si>
  <si>
    <t>Камера воздушная</t>
  </si>
  <si>
    <t>IfcAirTerminalBox</t>
  </si>
  <si>
    <t>ЭЛ 40 20 40 29</t>
  </si>
  <si>
    <t>Камера обслуживания</t>
  </si>
  <si>
    <t>ЭЛ 40 20 40 30</t>
  </si>
  <si>
    <t>Камера приточная</t>
  </si>
  <si>
    <t>ЭЛ 40 20 40 31</t>
  </si>
  <si>
    <t>Камера статического давления</t>
  </si>
  <si>
    <t>ЭЛ 40 20 40 32</t>
  </si>
  <si>
    <t>Узел прохода вентиляционной шахты</t>
  </si>
  <si>
    <t>IfcDuctSilencer</t>
  </si>
  <si>
    <t>ЭЛ 40 20 40 33</t>
  </si>
  <si>
    <t>Противопожарный воздушный клапан</t>
  </si>
  <si>
    <t>ЭЛ 40 20 40 34</t>
  </si>
  <si>
    <t>Противодымный клапан</t>
  </si>
  <si>
    <t>ЭЛ 40 20 40 35</t>
  </si>
  <si>
    <t>Клапан вытяжки</t>
  </si>
  <si>
    <t>ЭЛ 40 20 40 40</t>
  </si>
  <si>
    <t>Шибер</t>
  </si>
  <si>
    <t>ЭЛ 40 20 40 42</t>
  </si>
  <si>
    <t>Шумоглушитель</t>
  </si>
  <si>
    <t>ЭЛ 40 20 40 45</t>
  </si>
  <si>
    <t>Воздухораспределитель</t>
  </si>
  <si>
    <t>ЭЛ 40 20 40 46</t>
  </si>
  <si>
    <t>Виброизолятор</t>
  </si>
  <si>
    <t>IfcVibrationIsolator</t>
  </si>
  <si>
    <t>ЭЛ 40 20 60</t>
  </si>
  <si>
    <t>Изоляция воздуховодов</t>
  </si>
  <si>
    <t>ЭЛ 40 20 60 10</t>
  </si>
  <si>
    <t>Изоляция воздуховода обмоткой</t>
  </si>
  <si>
    <t>ЭЛ 40 20 60 20</t>
  </si>
  <si>
    <t>Изоляция воздуховода в рукаве</t>
  </si>
  <si>
    <t>ЭЛ 40 25</t>
  </si>
  <si>
    <t>Теплоснабжение</t>
  </si>
  <si>
    <t>ЭЛ 40 25 20</t>
  </si>
  <si>
    <t>Горячее водоснабжение</t>
  </si>
  <si>
    <t>ЭЛ 40 30</t>
  </si>
  <si>
    <t>Пожаротушение</t>
  </si>
  <si>
    <t>ЭЛ 40 30 10</t>
  </si>
  <si>
    <t>Противодымный экран</t>
  </si>
  <si>
    <t>ЭЛ 40 30 21</t>
  </si>
  <si>
    <t>Системы пожарной сигнализации</t>
  </si>
  <si>
    <t>ЭЛ 40 30 21 01</t>
  </si>
  <si>
    <t>Оповещатель пожарный</t>
  </si>
  <si>
    <t>IfcAlarm</t>
  </si>
  <si>
    <t>ЭЛ 40 30 21 02</t>
  </si>
  <si>
    <t>Извещатель пожарный ручной</t>
  </si>
  <si>
    <t>ЭЛ 40 30 21 03</t>
  </si>
  <si>
    <t>Извещатель пожарный дымовой</t>
  </si>
  <si>
    <t>ЭЛ 40 30 21 04</t>
  </si>
  <si>
    <t>Оповещатель пожарный звуковой гидравлический</t>
  </si>
  <si>
    <t>ЭЛ 40 30 21 05</t>
  </si>
  <si>
    <t>Модуль автоматической установки пожаротушения</t>
  </si>
  <si>
    <t>IfcFireSuppressionTerminal</t>
  </si>
  <si>
    <t>ЭЛ 40 30 21 06</t>
  </si>
  <si>
    <t>Прибор приемно-контрольный и управления пожарный</t>
  </si>
  <si>
    <t>IfcController</t>
  </si>
  <si>
    <t>ЭЛ 40 30 21 07</t>
  </si>
  <si>
    <t>Устройство дистанционного пуска</t>
  </si>
  <si>
    <t>IfcSwitchingDevice</t>
  </si>
  <si>
    <t>ЭЛ 40 30 21 08</t>
  </si>
  <si>
    <t>Узел управления автоматической установки пожаротушения</t>
  </si>
  <si>
    <t>ЭЛ 40 35</t>
  </si>
  <si>
    <t>Трассировка кабелей</t>
  </si>
  <si>
    <t>ЭЛ 40 35 10</t>
  </si>
  <si>
    <t>Прокладка кабеля</t>
  </si>
  <si>
    <t>ЭЛ 40 35 10 10</t>
  </si>
  <si>
    <t>Кабельный лоток</t>
  </si>
  <si>
    <t>IfcCableCarrierSegment</t>
  </si>
  <si>
    <t>ЭЛ 40 35 10 20</t>
  </si>
  <si>
    <t>Короб</t>
  </si>
  <si>
    <t>ЭЛ 40 35 10 30</t>
  </si>
  <si>
    <t>Труба электротехническая</t>
  </si>
  <si>
    <t>ЭЛ 40 35 10 35</t>
  </si>
  <si>
    <t>Кабельный ввод</t>
  </si>
  <si>
    <t>IfcCableCarrierFitting</t>
  </si>
  <si>
    <t>ЭЛ 40 35 10 36</t>
  </si>
  <si>
    <t>Соединитель</t>
  </si>
  <si>
    <t>ЭЛ 40 35 20</t>
  </si>
  <si>
    <t>Комплектующие для кабельных лотков</t>
  </si>
  <si>
    <t>ЭЛ 40 35 20 10</t>
  </si>
  <si>
    <t>Полка кабельная</t>
  </si>
  <si>
    <t>ЭЛ 40 35 20 20</t>
  </si>
  <si>
    <t>Стойка кабельная</t>
  </si>
  <si>
    <t>ЭЛ 40 35 20 30</t>
  </si>
  <si>
    <t>Угол горизонтальный</t>
  </si>
  <si>
    <t>ЭЛ 40 35 20 40</t>
  </si>
  <si>
    <t>ЭЛ 40 35 20 50</t>
  </si>
  <si>
    <t>Переходник</t>
  </si>
  <si>
    <t>ЭЛ 40 35 20 60</t>
  </si>
  <si>
    <t>Плоский угол</t>
  </si>
  <si>
    <t>ЭЛ 40 35 20 70</t>
  </si>
  <si>
    <t>Вертикальный внутренний угол</t>
  </si>
  <si>
    <t>ЭЛ 40 35 20 80</t>
  </si>
  <si>
    <t>Вертикальный внешний угол</t>
  </si>
  <si>
    <t>ЭЛ 40 35 20 90</t>
  </si>
  <si>
    <t>Т-образный отвод</t>
  </si>
  <si>
    <t>ЭЛ 40 35 25</t>
  </si>
  <si>
    <t>Пояс противопожарный</t>
  </si>
  <si>
    <t>ЭЛ 40 36</t>
  </si>
  <si>
    <t>Кабельно-проводниковая продукция</t>
  </si>
  <si>
    <t>ЭЛ 40 36 10</t>
  </si>
  <si>
    <t>Кабели и провода</t>
  </si>
  <si>
    <t>ЭЛ 40 36 10 01</t>
  </si>
  <si>
    <t>Кабели силовые</t>
  </si>
  <si>
    <t>IfcCableSegment</t>
  </si>
  <si>
    <t>ЭЛ 40 36 10 02</t>
  </si>
  <si>
    <t>Кабели связи</t>
  </si>
  <si>
    <t>ЭЛ 40 36 10 03</t>
  </si>
  <si>
    <t>Провода</t>
  </si>
  <si>
    <t>ЭЛ 40 36 10 04</t>
  </si>
  <si>
    <t>Оптоволоконный кабель</t>
  </si>
  <si>
    <t>ЭЛ 40 36 10 05</t>
  </si>
  <si>
    <t>Усиливающий провод</t>
  </si>
  <si>
    <t>ЭЛ 40 36 10 06</t>
  </si>
  <si>
    <t>Медная пара</t>
  </si>
  <si>
    <t>ЭЛ 40 36 15</t>
  </si>
  <si>
    <t>Соединитель кабельной линии</t>
  </si>
  <si>
    <t>IfcCableFitting</t>
  </si>
  <si>
    <t>ЭЛ 40 36 15 01</t>
  </si>
  <si>
    <t>Муфта кабельная</t>
  </si>
  <si>
    <t>ЭЛ 40 36 15 02</t>
  </si>
  <si>
    <t>Муфта концевая</t>
  </si>
  <si>
    <t>ЭЛ 40 36 15 03</t>
  </si>
  <si>
    <t>Гильза кабельная</t>
  </si>
  <si>
    <t>ЭЛ 40 36 15 04</t>
  </si>
  <si>
    <t>Наконечник кабельный</t>
  </si>
  <si>
    <t>ЭЛ 40 36 15 05</t>
  </si>
  <si>
    <t>Оптический модуль</t>
  </si>
  <si>
    <t>ЭЛ 40 40</t>
  </si>
  <si>
    <t>Элементы наружного водостока</t>
  </si>
  <si>
    <t>ЭЛ 40 40 10</t>
  </si>
  <si>
    <t>Водосточные трубы и желоба</t>
  </si>
  <si>
    <t>ЭЛ 40 40 10 10</t>
  </si>
  <si>
    <t>Водосточный желоб</t>
  </si>
  <si>
    <t>ЭЛ 40 40 10 20</t>
  </si>
  <si>
    <t>Водосточная труба</t>
  </si>
  <si>
    <t>ЭЛ 40 40 20</t>
  </si>
  <si>
    <t>Фасонные части водостока</t>
  </si>
  <si>
    <t>ЭЛ 40 40 20 10</t>
  </si>
  <si>
    <t>Угол</t>
  </si>
  <si>
    <t>ЭЛ 40 40 20 20</t>
  </si>
  <si>
    <t>Решетка водостока</t>
  </si>
  <si>
    <t>ЭЛ 40 40 20 30</t>
  </si>
  <si>
    <t>Заглушка водостока</t>
  </si>
  <si>
    <t>ЭЛ 40 40 20 40</t>
  </si>
  <si>
    <t>Колено</t>
  </si>
  <si>
    <t>ЭЛ 40 40 20 50</t>
  </si>
  <si>
    <t>Воронка водосточная</t>
  </si>
  <si>
    <t>ЭЛ 40 40 20 60</t>
  </si>
  <si>
    <t>Воронка сливная</t>
  </si>
  <si>
    <t>ЭЛ 40 45</t>
  </si>
  <si>
    <t>Элементы крепления</t>
  </si>
  <si>
    <t>ЭЛ 40 45 10</t>
  </si>
  <si>
    <t>Опоры и подвески</t>
  </si>
  <si>
    <t>ЭЛ 40 45 10 10</t>
  </si>
  <si>
    <t>Кронштейн</t>
  </si>
  <si>
    <t>ЭЛ 40 45 10 20</t>
  </si>
  <si>
    <t>ЭЛ 40 45 10 30</t>
  </si>
  <si>
    <t>Подвеска</t>
  </si>
  <si>
    <t>ЭЛ 40 45 10 40</t>
  </si>
  <si>
    <t>Подпорка</t>
  </si>
  <si>
    <t>ЭЛ 40 45 10 50</t>
  </si>
  <si>
    <t>ЭЛ 40 45 10 60</t>
  </si>
  <si>
    <t>Хомут</t>
  </si>
  <si>
    <t>ЭЛ 40 45 10 70</t>
  </si>
  <si>
    <t>Этажерка</t>
  </si>
  <si>
    <t>ЭЛ 40 45 10 85</t>
  </si>
  <si>
    <t>Флагодержатель</t>
  </si>
  <si>
    <t>ЭЛ 40 45 10 86</t>
  </si>
  <si>
    <t>Опора освещения</t>
  </si>
  <si>
    <t>ЭЛ 40 45 10 87</t>
  </si>
  <si>
    <t>Кронштейн опоры освещения</t>
  </si>
  <si>
    <t>ЭЛ 40 45 10 88</t>
  </si>
  <si>
    <t>Консоль под опору освещения</t>
  </si>
  <si>
    <t>ЭЛ 40 45 10 89</t>
  </si>
  <si>
    <t>Светофорная стойка</t>
  </si>
  <si>
    <t>ЭЛ 40 45 10 90</t>
  </si>
  <si>
    <t>Мачта освещения</t>
  </si>
  <si>
    <t>ЭЛ 40 45 20</t>
  </si>
  <si>
    <t>Соединения конструкций</t>
  </si>
  <si>
    <t>ЭЛ 40 45 20 10</t>
  </si>
  <si>
    <t>Шпилька</t>
  </si>
  <si>
    <t>ЭЛ 40 45 20 20</t>
  </si>
  <si>
    <t>Болт анкерный</t>
  </si>
  <si>
    <t>ЭЛ 40 45 20 30</t>
  </si>
  <si>
    <t>Петля</t>
  </si>
  <si>
    <t>ЭЛ 40 45 20 40</t>
  </si>
  <si>
    <t>Закладная деталь фундамента опоры освещения</t>
  </si>
  <si>
    <t>ЭЛ 40 50</t>
  </si>
  <si>
    <t>Оборудование</t>
  </si>
  <si>
    <t>ЭЛ 40 50 10</t>
  </si>
  <si>
    <t>Оборудование общее</t>
  </si>
  <si>
    <t>ЭЛ 40 50 10 10</t>
  </si>
  <si>
    <t>Бак</t>
  </si>
  <si>
    <t>IfcTank</t>
  </si>
  <si>
    <t>ЭЛ 40 50 10 11</t>
  </si>
  <si>
    <t>Бак конденсационный</t>
  </si>
  <si>
    <t>ЭЛ 40 50 10 12</t>
  </si>
  <si>
    <t>Бойлер</t>
  </si>
  <si>
    <t>IfcBoiler</t>
  </si>
  <si>
    <t>ЭЛ 40 50 10 16</t>
  </si>
  <si>
    <t>Водонагреватель</t>
  </si>
  <si>
    <t>ЭЛ 40 50 10 20</t>
  </si>
  <si>
    <t>Воздухоохладитель</t>
  </si>
  <si>
    <t>IfcChiller</t>
  </si>
  <si>
    <t>ЭЛ 40 50 10 22</t>
  </si>
  <si>
    <t>Гребенка из труб</t>
  </si>
  <si>
    <t>ЭЛ 40 50 10 24</t>
  </si>
  <si>
    <t>Емкость</t>
  </si>
  <si>
    <t>ЭЛ 40 50 10 26</t>
  </si>
  <si>
    <t>Калорифер</t>
  </si>
  <si>
    <t>IfcSpaceHeater</t>
  </si>
  <si>
    <t>ЭЛ 40 50 10 30</t>
  </si>
  <si>
    <t>Котел</t>
  </si>
  <si>
    <t>ЭЛ 40 50 10 32</t>
  </si>
  <si>
    <t>Насос</t>
  </si>
  <si>
    <t>IfcPump</t>
  </si>
  <si>
    <t>ЭЛ 40 50 10 33</t>
  </si>
  <si>
    <t>Поддон</t>
  </si>
  <si>
    <t>ЭЛ 40 50 10 34</t>
  </si>
  <si>
    <t>Пылеулавливающий агрегат</t>
  </si>
  <si>
    <t>IfcUnitaryEquipment</t>
  </si>
  <si>
    <t>ЭЛ 40 50 10 35</t>
  </si>
  <si>
    <t>Бак расширительный</t>
  </si>
  <si>
    <t>ЭЛ 40 50 10 36</t>
  </si>
  <si>
    <t>Резервуар</t>
  </si>
  <si>
    <t>ЭЛ 40 50 10 37</t>
  </si>
  <si>
    <t>Рекуператор</t>
  </si>
  <si>
    <t>IfcHeatExchanger</t>
  </si>
  <si>
    <t>ЭЛ 40 50 10 40</t>
  </si>
  <si>
    <t>Сплит-система</t>
  </si>
  <si>
    <t>ЭЛ 40 50 10 42</t>
  </si>
  <si>
    <t>Теплогенератор</t>
  </si>
  <si>
    <t>ЭЛ 40 50 10 44</t>
  </si>
  <si>
    <t>Теплообменник</t>
  </si>
  <si>
    <t>ЭЛ 40 50 10 45</t>
  </si>
  <si>
    <t>Теплообменник пластинчатый</t>
  </si>
  <si>
    <t>ЭЛ 40 50 10 47</t>
  </si>
  <si>
    <t>Цистерна</t>
  </si>
  <si>
    <t>ЭЛ 40 50 10 49</t>
  </si>
  <si>
    <t>Блок кондиционера внутренний</t>
  </si>
  <si>
    <t>ЭЛ 40 50 10 50</t>
  </si>
  <si>
    <t>Блок кондиционера наружный</t>
  </si>
  <si>
    <t>ЭЛ 40 50 10 51</t>
  </si>
  <si>
    <t>Коллектор распределительный</t>
  </si>
  <si>
    <t>ЭЛ 40 50 20</t>
  </si>
  <si>
    <t>Оборудование электроустановочное</t>
  </si>
  <si>
    <t>ЭЛ 40 50 20 10</t>
  </si>
  <si>
    <t>Розетка штепсельная</t>
  </si>
  <si>
    <t>IfcOutlet</t>
  </si>
  <si>
    <t>ЭЛ 40 50 20 20</t>
  </si>
  <si>
    <t>Выключатель</t>
  </si>
  <si>
    <t>ЭЛ 40 50 20 21</t>
  </si>
  <si>
    <t>Выключатель проходной</t>
  </si>
  <si>
    <t>ЭЛ 40 50 20 22</t>
  </si>
  <si>
    <t>Переключатель</t>
  </si>
  <si>
    <t>ЭЛ 40 50 20 30</t>
  </si>
  <si>
    <t>Звонок электрический</t>
  </si>
  <si>
    <t>ЭЛ 40 50 20 50</t>
  </si>
  <si>
    <t>Распределительная коробка</t>
  </si>
  <si>
    <t>IfcJunctionBox</t>
  </si>
  <si>
    <t>ЭЛ 40 50 20 60</t>
  </si>
  <si>
    <t>Электрический счетчик</t>
  </si>
  <si>
    <t>ЭЛ 40 50 20 80</t>
  </si>
  <si>
    <t>Оконечное устройство</t>
  </si>
  <si>
    <t>ЭЛ 40 50 20 90</t>
  </si>
  <si>
    <t>Розетка коммутационная</t>
  </si>
  <si>
    <t>ЭЛ 40 50 25</t>
  </si>
  <si>
    <t>Оборудование электротехническое</t>
  </si>
  <si>
    <t>ЭЛ 40 50 25 10</t>
  </si>
  <si>
    <t>Установка компенсации реактивной мощности</t>
  </si>
  <si>
    <t>IfcProtectiveDevice</t>
  </si>
  <si>
    <t>ЭЛ 40 50 25 20</t>
  </si>
  <si>
    <t>Частотный преобразователь</t>
  </si>
  <si>
    <t>IfcTransformer</t>
  </si>
  <si>
    <t>ЭЛ 40 50 25 30</t>
  </si>
  <si>
    <t>Выпрямитель</t>
  </si>
  <si>
    <t>ЭЛ 40 50 25 40</t>
  </si>
  <si>
    <t>Электродвигатель</t>
  </si>
  <si>
    <t>IfcElectricMotor</t>
  </si>
  <si>
    <t>ЭЛ 40 50 25 50</t>
  </si>
  <si>
    <t>Трансформатор</t>
  </si>
  <si>
    <t>ЭЛ 40 50 25 60</t>
  </si>
  <si>
    <t>Электрогенератор</t>
  </si>
  <si>
    <t>IfcElectricGenerator</t>
  </si>
  <si>
    <t>ЭЛ 40 50 25 70</t>
  </si>
  <si>
    <t>Фильтр частотный</t>
  </si>
  <si>
    <t>ЭЛ 40 50 26</t>
  </si>
  <si>
    <t>Отопительное оборудование</t>
  </si>
  <si>
    <t>ЭЛ 40 50 26 01</t>
  </si>
  <si>
    <t>Воздухосборник</t>
  </si>
  <si>
    <t>ЭЛ 40 50 26 02</t>
  </si>
  <si>
    <t>Воздухоотводчик</t>
  </si>
  <si>
    <t>ЭЛ 40 50 26 03</t>
  </si>
  <si>
    <t>Конвектор</t>
  </si>
  <si>
    <t>ЭЛ 40 50 26 04</t>
  </si>
  <si>
    <t>Котел отопительный</t>
  </si>
  <si>
    <t>ЭЛ 40 50 26 05</t>
  </si>
  <si>
    <t>Радиатор отопления</t>
  </si>
  <si>
    <t>ЭЛ 40 50 26 06</t>
  </si>
  <si>
    <t>Регистр</t>
  </si>
  <si>
    <t>ЭЛ 40 50 26 07</t>
  </si>
  <si>
    <t>Счетчик тепла</t>
  </si>
  <si>
    <t>ЭЛ 40 50 26 08</t>
  </si>
  <si>
    <t>Терморегулятор</t>
  </si>
  <si>
    <t>ЭЛ 40 50 26 09</t>
  </si>
  <si>
    <t>Фильтр для очистки воды</t>
  </si>
  <si>
    <t>ЭЛ 40 50 26 10</t>
  </si>
  <si>
    <t>ЭЛ 40 50 26 11</t>
  </si>
  <si>
    <t>Электрообогреватель</t>
  </si>
  <si>
    <t>ЭЛ 40 50 27</t>
  </si>
  <si>
    <t>Оборудование пожаротушения</t>
  </si>
  <si>
    <t>ЭЛ 40 50 27 01</t>
  </si>
  <si>
    <t>Дренчер</t>
  </si>
  <si>
    <t>ЭЛ 40 50 27 02</t>
  </si>
  <si>
    <t>Клапан огнезадерживающий</t>
  </si>
  <si>
    <t>ЭЛ 40 50 27 03</t>
  </si>
  <si>
    <t>Огнетушитель</t>
  </si>
  <si>
    <t>ЭЛ 40 50 27 04</t>
  </si>
  <si>
    <t>Датчик пожарный</t>
  </si>
  <si>
    <t>IfcSensor</t>
  </si>
  <si>
    <t>ЭЛ 40 50 27 05</t>
  </si>
  <si>
    <t>Выносное устройство индикации</t>
  </si>
  <si>
    <t>Люк дымовой</t>
  </si>
  <si>
    <t>ЭЛ 40 50 27 07</t>
  </si>
  <si>
    <t>Пожарный кран</t>
  </si>
  <si>
    <t>ЭЛ 40 50 27 08</t>
  </si>
  <si>
    <t>Пожарный насос</t>
  </si>
  <si>
    <t>ЭЛ 40 50 27 09</t>
  </si>
  <si>
    <t>Клапан пожарный запорный</t>
  </si>
  <si>
    <t>ЭЛ 40 50 27 10</t>
  </si>
  <si>
    <t>Спринклер</t>
  </si>
  <si>
    <t>ЭЛ 40 50 28</t>
  </si>
  <si>
    <t>Вентиляционное оборудование</t>
  </si>
  <si>
    <t>ЭЛ 40 50 28 01</t>
  </si>
  <si>
    <t>Приточная установка</t>
  </si>
  <si>
    <t>ЭЛ 40 50 28 02</t>
  </si>
  <si>
    <t>Приточно-рециркуляционный агрегат</t>
  </si>
  <si>
    <t>ЭЛ 40 50 28 03</t>
  </si>
  <si>
    <t>Вентиляторный агрегат</t>
  </si>
  <si>
    <t>ЭЛ 40 50 28 04</t>
  </si>
  <si>
    <t>Вентилятор</t>
  </si>
  <si>
    <t>IfcFan</t>
  </si>
  <si>
    <t>ЭЛ 40 50 28 05</t>
  </si>
  <si>
    <t>Воздушно-тепловая завеса</t>
  </si>
  <si>
    <t>ЭЛ 40 50 28 06</t>
  </si>
  <si>
    <t>Воздушно-отопительный агрегат</t>
  </si>
  <si>
    <t>ЭЛ 40 50 28 07</t>
  </si>
  <si>
    <t>Воздухонагреватель</t>
  </si>
  <si>
    <t>IfcAirToAirHeatRecovery</t>
  </si>
  <si>
    <t>ЭЛ 40 50 28 08</t>
  </si>
  <si>
    <t>Фанкойл</t>
  </si>
  <si>
    <t>ЭЛ 40 50 28 09</t>
  </si>
  <si>
    <t>Чиллер</t>
  </si>
  <si>
    <t>ЭЛ 40 50 28 10</t>
  </si>
  <si>
    <t>Отсос</t>
  </si>
  <si>
    <t>ЭЛ 40 50 28 11</t>
  </si>
  <si>
    <t>Скруббер</t>
  </si>
  <si>
    <t>ЭЛ 40 50 28 12</t>
  </si>
  <si>
    <t>Циклон</t>
  </si>
  <si>
    <t>ЭЛ 40 50 28 13</t>
  </si>
  <si>
    <t>Холодильная машина</t>
  </si>
  <si>
    <t>ЭЛ 40 50 28 14</t>
  </si>
  <si>
    <t>Агрегат системы вентиляции и кондиционирования</t>
  </si>
  <si>
    <t>ЭЛ 40 50 28 15</t>
  </si>
  <si>
    <t>Воздухообрабатывающая установка</t>
  </si>
  <si>
    <t>ЭЛ 40 50 29</t>
  </si>
  <si>
    <t>Газовое оборудование</t>
  </si>
  <si>
    <t>ЭЛ 40 50 29 01</t>
  </si>
  <si>
    <t>Баллон</t>
  </si>
  <si>
    <t>ЭЛ 40 50 29 02</t>
  </si>
  <si>
    <t>Газовый проточный водонагреватель</t>
  </si>
  <si>
    <t>IfcBurner</t>
  </si>
  <si>
    <t>ЭЛ 40 50 29 03</t>
  </si>
  <si>
    <t>Головка воздушная</t>
  </si>
  <si>
    <t>ЭЛ 40 50 29 04</t>
  </si>
  <si>
    <t>Горелка</t>
  </si>
  <si>
    <t>ЭЛ 40 50 29 05</t>
  </si>
  <si>
    <t>Диафрагма камерная</t>
  </si>
  <si>
    <t>ЭЛ 40 50 29 06</t>
  </si>
  <si>
    <t>Затвор газовый</t>
  </si>
  <si>
    <t>ЭЛ 40 50 29 07</t>
  </si>
  <si>
    <t>Клапан противовзрывной</t>
  </si>
  <si>
    <t>ЭЛ 40 50 29 08</t>
  </si>
  <si>
    <t>Плита газовая</t>
  </si>
  <si>
    <t>ЭЛ 40 50 29 09</t>
  </si>
  <si>
    <t>Регулятор давления газа</t>
  </si>
  <si>
    <t>ЭЛ 40 50 29 10</t>
  </si>
  <si>
    <t>Установка редуцирования давления газа</t>
  </si>
  <si>
    <t>ЭЛ 40 50 29 11</t>
  </si>
  <si>
    <t>Фильтр газовый</t>
  </si>
  <si>
    <t>ЭЛ 40 50 29 12</t>
  </si>
  <si>
    <t>Счетчик газа</t>
  </si>
  <si>
    <t>ЭЛ 40 50 29 13</t>
  </si>
  <si>
    <t>Газовый запорный клапан</t>
  </si>
  <si>
    <t>ЭЛ 40 50 30</t>
  </si>
  <si>
    <t>Бытовые электроприборы</t>
  </si>
  <si>
    <t>ЭЛ 40 50 30 10</t>
  </si>
  <si>
    <t>Вытяжка кухонная</t>
  </si>
  <si>
    <t>IfcElectricAppliance</t>
  </si>
  <si>
    <t>ЭЛ 40 50 30 15</t>
  </si>
  <si>
    <t>Микроволновая печь</t>
  </si>
  <si>
    <t>ЭЛ 40 50 30 20</t>
  </si>
  <si>
    <t>Плита электрическая</t>
  </si>
  <si>
    <t>ЭЛ 40 50 30 25</t>
  </si>
  <si>
    <t>Посудомоечная машина</t>
  </si>
  <si>
    <t>ЭЛ 40 50 30 30</t>
  </si>
  <si>
    <t>Стиральная машина</t>
  </si>
  <si>
    <t>ЭЛ 40 50 30 35</t>
  </si>
  <si>
    <t>Телевизор</t>
  </si>
  <si>
    <t>ЭЛ 40 50 30 40</t>
  </si>
  <si>
    <t>Холодильник</t>
  </si>
  <si>
    <t>ЭЛ 40 50 30 45</t>
  </si>
  <si>
    <t>Шкаф духовой</t>
  </si>
  <si>
    <t>ЭЛ 40 50 30 50</t>
  </si>
  <si>
    <t>Полотенцесушитель электрический</t>
  </si>
  <si>
    <t>ЭЛ 40 50 35</t>
  </si>
  <si>
    <t>Мультимедийное оборудование</t>
  </si>
  <si>
    <t>ЭЛ 40 50 35 10</t>
  </si>
  <si>
    <t>Видеокамера</t>
  </si>
  <si>
    <t>IfcAudioVisualAppliance</t>
  </si>
  <si>
    <t>ЭЛ 40 50 40</t>
  </si>
  <si>
    <t>Сантехнические приборы</t>
  </si>
  <si>
    <t>ЭЛ 40 50 40 10</t>
  </si>
  <si>
    <t>Биде</t>
  </si>
  <si>
    <t>ЭЛ 40 50 40 15</t>
  </si>
  <si>
    <t>Ванна</t>
  </si>
  <si>
    <t>ЭЛ 40 50 40 20</t>
  </si>
  <si>
    <t>Душевая кабина</t>
  </si>
  <si>
    <t>ЭЛ 40 50 40 25</t>
  </si>
  <si>
    <t>Кухонная мойка</t>
  </si>
  <si>
    <t>ЭЛ 40 50 40 30</t>
  </si>
  <si>
    <t>Мойка</t>
  </si>
  <si>
    <t>ЭЛ 40 50 40 35</t>
  </si>
  <si>
    <t>Писсуар</t>
  </si>
  <si>
    <t>ЭЛ 40 50 40 40</t>
  </si>
  <si>
    <t>Поддон душевой</t>
  </si>
  <si>
    <t>ЭЛ 40 50 40 45</t>
  </si>
  <si>
    <t>Прочие приборы</t>
  </si>
  <si>
    <t>ЭЛ 40 50 40 50</t>
  </si>
  <si>
    <t>Раковина</t>
  </si>
  <si>
    <t>ЭЛ 40 50 40 51</t>
  </si>
  <si>
    <t>Сантехкабина</t>
  </si>
  <si>
    <t>ЭЛ 40 50 40 52</t>
  </si>
  <si>
    <t>Сантехподдон</t>
  </si>
  <si>
    <t>ЭЛ 40 50 40 53</t>
  </si>
  <si>
    <t>Пьедестал под умывальник</t>
  </si>
  <si>
    <t>ЭЛ 40 50 40 55</t>
  </si>
  <si>
    <t>Смеситель</t>
  </si>
  <si>
    <t>ЭЛ 40 50 40 60</t>
  </si>
  <si>
    <t>Смывной бачок</t>
  </si>
  <si>
    <t>ЭЛ 40 50 40 65</t>
  </si>
  <si>
    <t>Умывальник</t>
  </si>
  <si>
    <t>ЭЛ 40 50 40 70</t>
  </si>
  <si>
    <t>Унитаз</t>
  </si>
  <si>
    <t>ЭЛ 40 50 40 72</t>
  </si>
  <si>
    <t>Экран ванной</t>
  </si>
  <si>
    <t>ЭЛ 40 50 40 73</t>
  </si>
  <si>
    <t>Полотенцесушитель проточный</t>
  </si>
  <si>
    <t>ЭЛ 40 50 40 74</t>
  </si>
  <si>
    <t>Сифон</t>
  </si>
  <si>
    <t>ЭЛ 40 50 50</t>
  </si>
  <si>
    <t>Осветительные приборы</t>
  </si>
  <si>
    <t>IfcLightFixture</t>
  </si>
  <si>
    <t>ЭЛ 40 50 50 10</t>
  </si>
  <si>
    <t>Бра</t>
  </si>
  <si>
    <t>ЭЛ 40 50 50 20</t>
  </si>
  <si>
    <t>Люстра</t>
  </si>
  <si>
    <t>ЭЛ 40 50 50 25</t>
  </si>
  <si>
    <t>Прожектор</t>
  </si>
  <si>
    <t>ЭЛ 40 50 50 30</t>
  </si>
  <si>
    <t>Светильник</t>
  </si>
  <si>
    <t>ЭЛ 40 50 50 35</t>
  </si>
  <si>
    <t>Софит</t>
  </si>
  <si>
    <t>ЭЛ 40 50 50 40</t>
  </si>
  <si>
    <t>Торшер</t>
  </si>
  <si>
    <t>ЭЛ 40 50 50 45</t>
  </si>
  <si>
    <t>Фонарь</t>
  </si>
  <si>
    <t>ЭЛ 40 50 50 50</t>
  </si>
  <si>
    <t>Наружный светильник</t>
  </si>
  <si>
    <t>ЭЛ 40 50 50 55</t>
  </si>
  <si>
    <t>Указатель направления движения</t>
  </si>
  <si>
    <t>ЭЛ 40 50 50 60</t>
  </si>
  <si>
    <t>Указатель эвакуационного выхода</t>
  </si>
  <si>
    <t>ЭЛ 40 50 50 65</t>
  </si>
  <si>
    <t>Указатель ПК</t>
  </si>
  <si>
    <t>ЭЛ 40 50 51</t>
  </si>
  <si>
    <t>Лампа</t>
  </si>
  <si>
    <t>IfcLamp</t>
  </si>
  <si>
    <t>ЭЛ 40 50 55</t>
  </si>
  <si>
    <t>Оборудование для передачи данных</t>
  </si>
  <si>
    <t>IfcCommunicationsAppliance</t>
  </si>
  <si>
    <t>ЭЛ 40 50 55 05</t>
  </si>
  <si>
    <t>Антенна</t>
  </si>
  <si>
    <t>ЭЛ 40 50 55 10</t>
  </si>
  <si>
    <t>Автомат</t>
  </si>
  <si>
    <t>ЭЛ 40 50 55 15</t>
  </si>
  <si>
    <t>Компьютер</t>
  </si>
  <si>
    <t>ЭЛ 40 50 55 20</t>
  </si>
  <si>
    <t>Периферийное оборудование</t>
  </si>
  <si>
    <t>ЭЛ 40 50 55 25</t>
  </si>
  <si>
    <t>Сетевое оборудование</t>
  </si>
  <si>
    <t>ЭЛ 40 50 55 30</t>
  </si>
  <si>
    <t>Модем</t>
  </si>
  <si>
    <t>ЭЛ 40 50 55 35</t>
  </si>
  <si>
    <t>Сетевой концентратор, хаб</t>
  </si>
  <si>
    <t>ЭЛ 40 50 55 40</t>
  </si>
  <si>
    <t>Устройство оптической сети</t>
  </si>
  <si>
    <t>ЭЛ 40 50 55 45</t>
  </si>
  <si>
    <t>Телеуправление</t>
  </si>
  <si>
    <t>ЭЛ 40 50 55 50</t>
  </si>
  <si>
    <t>Телефонная станция, коммутатор</t>
  </si>
  <si>
    <t>ЭЛ 40 50 55 55</t>
  </si>
  <si>
    <t>Преобразователь сигнала</t>
  </si>
  <si>
    <t>ЭЛ 40 50 55 60</t>
  </si>
  <si>
    <t>Транспондер</t>
  </si>
  <si>
    <t>ЭЛ 40 50 55 65</t>
  </si>
  <si>
    <t>Оборудование сети передачи данных</t>
  </si>
  <si>
    <t>ЭЛ 40 50 55 70</t>
  </si>
  <si>
    <t>Маршрутизатор</t>
  </si>
  <si>
    <t>ЭЛ 40 50 55 75</t>
  </si>
  <si>
    <t>Блок вызова</t>
  </si>
  <si>
    <t>ЭЛ 40 50 60</t>
  </si>
  <si>
    <t>Шкафы, щиты</t>
  </si>
  <si>
    <t>ЭЛ 40 50 60 25</t>
  </si>
  <si>
    <t>Щит огнезащитный</t>
  </si>
  <si>
    <t>IfcFurniture</t>
  </si>
  <si>
    <t>ЭЛ 40 50 60 40</t>
  </si>
  <si>
    <t>Шкаф электрический (корпус)</t>
  </si>
  <si>
    <t>ЭЛ 40 50 60 50</t>
  </si>
  <si>
    <t>Шкаф пожарный</t>
  </si>
  <si>
    <t>ЭЛ 40 50 65</t>
  </si>
  <si>
    <t>Устройства распределительные</t>
  </si>
  <si>
    <t>IfcElectricDistributionBoard</t>
  </si>
  <si>
    <t>ЭЛ 40 50 65 02</t>
  </si>
  <si>
    <t>Распределительный щит</t>
  </si>
  <si>
    <t>ЭЛ 40 50 65 03</t>
  </si>
  <si>
    <t>Щит управления электродвигателями</t>
  </si>
  <si>
    <t>ЭЛ 40 50 65 04</t>
  </si>
  <si>
    <t>Коммутатор сетевой</t>
  </si>
  <si>
    <t>ЭЛ 40 50 65 05</t>
  </si>
  <si>
    <t>Коммутатор оптический</t>
  </si>
  <si>
    <t>ЭЛ 40 50 65 06</t>
  </si>
  <si>
    <t>Вводно-распределительное устройство (ВРУ)</t>
  </si>
  <si>
    <t>ЭЛ 40 50 70</t>
  </si>
  <si>
    <t>Накопитель заряда</t>
  </si>
  <si>
    <t>IfcElectricFlowStorageDevice</t>
  </si>
  <si>
    <t>ЭЛ 40 50 70 01</t>
  </si>
  <si>
    <t>Конденсатор</t>
  </si>
  <si>
    <t>ЭЛ 40 50 70 02</t>
  </si>
  <si>
    <t>ЭЛ 40 50 70 03</t>
  </si>
  <si>
    <t>Индуктор</t>
  </si>
  <si>
    <t>ЭЛ 40 50 70 04</t>
  </si>
  <si>
    <t>Зарядное устройство</t>
  </si>
  <si>
    <t>ЭЛ 40 50 70 05</t>
  </si>
  <si>
    <t>Источник бесперебойного питания</t>
  </si>
  <si>
    <t>ЭЛ 40 50 70 06</t>
  </si>
  <si>
    <t>Аккумуляторная батарея</t>
  </si>
  <si>
    <t>ЭЛ 40 50 80</t>
  </si>
  <si>
    <t>Устройства защиты электрической сети</t>
  </si>
  <si>
    <t>ЭЛ 40 50 80 01</t>
  </si>
  <si>
    <t>Устройство обнаружения дугового разряда</t>
  </si>
  <si>
    <t>ЭЛ 40 50 80 02</t>
  </si>
  <si>
    <t>Разрядник</t>
  </si>
  <si>
    <t>ЭЛ 40 50 80 03</t>
  </si>
  <si>
    <t>Регулятор напряжения</t>
  </si>
  <si>
    <t>ЭЛ 40 50 80 04</t>
  </si>
  <si>
    <t>Заземлитель</t>
  </si>
  <si>
    <t>ЭЛ 40 50 80 05</t>
  </si>
  <si>
    <t>Токоотвод</t>
  </si>
  <si>
    <t>ЭЛ 40 50 80 06</t>
  </si>
  <si>
    <t>Молниеприемник</t>
  </si>
  <si>
    <t>ЭЛ 40 50 80 07</t>
  </si>
  <si>
    <t>Выключатель автоматический</t>
  </si>
  <si>
    <t>ЭЛ 40 50 80 08</t>
  </si>
  <si>
    <t>Устройство защитного отключения</t>
  </si>
  <si>
    <t>ЭЛ 40 50 90</t>
  </si>
  <si>
    <t>Устройства сбора солнечной энергии</t>
  </si>
  <si>
    <t>ЭЛ 40 50 90 01</t>
  </si>
  <si>
    <t>Солнечная батарея</t>
  </si>
  <si>
    <t>IfcSolarDevice</t>
  </si>
  <si>
    <t>ЭЛ 40 55</t>
  </si>
  <si>
    <t>Контрольно-измерительные приборы и аппаратура</t>
  </si>
  <si>
    <t>ЭЛ 40 55 10</t>
  </si>
  <si>
    <t>Аппаратура</t>
  </si>
  <si>
    <t>ЭЛ 40 55 10 10</t>
  </si>
  <si>
    <t>Монитор</t>
  </si>
  <si>
    <t>ЭЛ 40 55 10 20</t>
  </si>
  <si>
    <t>Контрольная панель</t>
  </si>
  <si>
    <t>ЭЛ 40 55 10 30</t>
  </si>
  <si>
    <t>Громкоговоритель</t>
  </si>
  <si>
    <t>ЭЛ 40 55 10 40</t>
  </si>
  <si>
    <t>Сирена</t>
  </si>
  <si>
    <t>ЭЛ 40 55 10 50</t>
  </si>
  <si>
    <t>Блок управления</t>
  </si>
  <si>
    <t>ЭЛ 40 55 20</t>
  </si>
  <si>
    <t>Контрольно-измерительные приборы</t>
  </si>
  <si>
    <t>ЭЛ 40 55 20 10</t>
  </si>
  <si>
    <t>Датчик</t>
  </si>
  <si>
    <t>ЭЛ 40 55 20 12</t>
  </si>
  <si>
    <t>Датчик движения</t>
  </si>
  <si>
    <t>ЭЛ 40 55 20 13</t>
  </si>
  <si>
    <t>Манометр</t>
  </si>
  <si>
    <t>IfcFlowInstrument</t>
  </si>
  <si>
    <t>ЭЛ 40 55 20 14</t>
  </si>
  <si>
    <t>Счетчик</t>
  </si>
  <si>
    <t>ЭЛ 40 55 20 15</t>
  </si>
  <si>
    <t>Термометр</t>
  </si>
  <si>
    <t>ЭЛ 40 55 20 16</t>
  </si>
  <si>
    <t>Дозиметр</t>
  </si>
  <si>
    <t>ЭЛ 40 55 20 17</t>
  </si>
  <si>
    <t>Детектор</t>
  </si>
  <si>
    <t>ЭЛ 40 55 20 18</t>
  </si>
  <si>
    <t>Пылемер</t>
  </si>
  <si>
    <t>ЭЛ 40 55 20 19</t>
  </si>
  <si>
    <t>Расходомер</t>
  </si>
  <si>
    <t>ЭЛ 40 55 20 20</t>
  </si>
  <si>
    <t>Тахометр</t>
  </si>
  <si>
    <t>ЭЛ 40 55 20 21</t>
  </si>
  <si>
    <t>Термогигрометр</t>
  </si>
  <si>
    <t>ЭЛ 40 55 20 25</t>
  </si>
  <si>
    <t>Индикатор</t>
  </si>
  <si>
    <t>ЭЛ 40 55 20 30</t>
  </si>
  <si>
    <t>Вольтметр</t>
  </si>
  <si>
    <t>ЭЛ 40 60</t>
  </si>
  <si>
    <t>Элементы интерьера</t>
  </si>
  <si>
    <t>ЭЛ 40 60 10</t>
  </si>
  <si>
    <t>Мебель</t>
  </si>
  <si>
    <t>ЭЛ 40 60 10 10</t>
  </si>
  <si>
    <t>Барная стойка</t>
  </si>
  <si>
    <t>ЭЛ 40 60 10 12</t>
  </si>
  <si>
    <t>ЭЛ 40 60 10 13</t>
  </si>
  <si>
    <t>Диван</t>
  </si>
  <si>
    <t>ЭЛ 40 60 10 14</t>
  </si>
  <si>
    <t>Зеркало</t>
  </si>
  <si>
    <t>ЭЛ 40 60 10 15</t>
  </si>
  <si>
    <t>ЭЛ 40 60 10 16</t>
  </si>
  <si>
    <t>Кресло</t>
  </si>
  <si>
    <t>ЭЛ 40 60 10 17</t>
  </si>
  <si>
    <t>Кровать</t>
  </si>
  <si>
    <t>ЭЛ 40 60 10 18</t>
  </si>
  <si>
    <t>Кухонный гарнитур</t>
  </si>
  <si>
    <t>ЭЛ 40 60 10 19</t>
  </si>
  <si>
    <t>Полка мебельная</t>
  </si>
  <si>
    <t>ЭЛ 40 60 10 20</t>
  </si>
  <si>
    <t>Стеллаж</t>
  </si>
  <si>
    <t>ЭЛ 40 60 10 21</t>
  </si>
  <si>
    <t>Стенка</t>
  </si>
  <si>
    <t>ЭЛ 40 60 10 23</t>
  </si>
  <si>
    <t>Стол</t>
  </si>
  <si>
    <t>ЭЛ 40 60 10 24</t>
  </si>
  <si>
    <t>Стул</t>
  </si>
  <si>
    <t>ЭЛ 40 60 10 25</t>
  </si>
  <si>
    <t>Тумбочка</t>
  </si>
  <si>
    <t>ЭЛ 40 60 10 26</t>
  </si>
  <si>
    <t>Шкаф</t>
  </si>
  <si>
    <t>ЭЛ 40 60 10 27</t>
  </si>
  <si>
    <t>Шкаф-купе</t>
  </si>
  <si>
    <t>ЭЛ 40 60 10 28</t>
  </si>
  <si>
    <t>Кашпо напольное</t>
  </si>
  <si>
    <t>ЭЛ 40 60 10 29</t>
  </si>
  <si>
    <t>Кресло для трибун</t>
  </si>
  <si>
    <t>ЭЛ 40 60 10 30</t>
  </si>
  <si>
    <t>Обеденная группа</t>
  </si>
  <si>
    <t>ЭЛ 40 60 10 31</t>
  </si>
  <si>
    <t>Журнальный стол</t>
  </si>
  <si>
    <t>ЭЛ 40 60 10 32</t>
  </si>
  <si>
    <t>Сиденье откидное</t>
  </si>
  <si>
    <t>ЭЛ 40 60 10 33</t>
  </si>
  <si>
    <t>Скамья</t>
  </si>
  <si>
    <t>ЭЛ 40 60 10 34</t>
  </si>
  <si>
    <t>Банкетка</t>
  </si>
  <si>
    <t>ЭЛ 40 60 10 35</t>
  </si>
  <si>
    <t>Бокс</t>
  </si>
  <si>
    <t>ЭЛ 40 60 10 36</t>
  </si>
  <si>
    <t>Корпус</t>
  </si>
  <si>
    <t>ЭЛ 40 60 10 37</t>
  </si>
  <si>
    <t>Сейф</t>
  </si>
  <si>
    <t>ЭЛ 40 60 10 38</t>
  </si>
  <si>
    <t>Ящик почтовый</t>
  </si>
  <si>
    <t>ЭЛ 40 60 20</t>
  </si>
  <si>
    <t>Мебельная фурнитура</t>
  </si>
  <si>
    <t>ЭЛ 40 60 20 10</t>
  </si>
  <si>
    <t>Доводчик двери</t>
  </si>
  <si>
    <t>ЭЛ 40 60 20 20</t>
  </si>
  <si>
    <t>Кронштейн мебельный</t>
  </si>
  <si>
    <t>ЭЛ 40 60 20 30</t>
  </si>
  <si>
    <t>Мебельная ручка</t>
  </si>
  <si>
    <t>ЭЛ 40 60 20 40</t>
  </si>
  <si>
    <t>Мебельная петля</t>
  </si>
  <si>
    <t>ЭЛ 40 60 20 50</t>
  </si>
  <si>
    <t>Мебельный замок</t>
  </si>
  <si>
    <t>ЭЛ 40 60 20 60</t>
  </si>
  <si>
    <t>Мебельный ограничитель</t>
  </si>
  <si>
    <t>ЭЛ 40 62</t>
  </si>
  <si>
    <t>Спортивное оборудование</t>
  </si>
  <si>
    <t>ЭЛ 40 62 10</t>
  </si>
  <si>
    <t>Спортивный инвентарь</t>
  </si>
  <si>
    <t>ЭЛ 40 62 10 10</t>
  </si>
  <si>
    <t>Батутная арена</t>
  </si>
  <si>
    <t>ЭЛ 40 62 10 11</t>
  </si>
  <si>
    <t>Батут</t>
  </si>
  <si>
    <t>ЭЛ 40 62 10 12</t>
  </si>
  <si>
    <t>Спортивный ринг</t>
  </si>
  <si>
    <t>ЭЛ 40 62 10 13</t>
  </si>
  <si>
    <t>Скалодром</t>
  </si>
  <si>
    <t>ЭЛ 40 62 10 14</t>
  </si>
  <si>
    <t>Трибуна</t>
  </si>
  <si>
    <t>ЭЛ 50</t>
  </si>
  <si>
    <t>Гидротехнические сооружения</t>
  </si>
  <si>
    <t>ЭЛ 50 10</t>
  </si>
  <si>
    <t>Защитные сооружения</t>
  </si>
  <si>
    <t>ЭЛ 50 10 10</t>
  </si>
  <si>
    <t>Береговая защита</t>
  </si>
  <si>
    <t>ЭЛ 50 10 10 10</t>
  </si>
  <si>
    <t>Волнорез</t>
  </si>
  <si>
    <t>ЭЛ 50 20</t>
  </si>
  <si>
    <t>Гидроэлектростанция (ГЭС)</t>
  </si>
  <si>
    <t>ЭЛ 50 20 10</t>
  </si>
  <si>
    <t>Гидросиловое оборудование</t>
  </si>
  <si>
    <t>ЭЛ 50 20 10 10</t>
  </si>
  <si>
    <t>Турбина</t>
  </si>
  <si>
    <t>ЭЛ 50 20 10 20</t>
  </si>
  <si>
    <t>Генератор</t>
  </si>
  <si>
    <t>ЭЛ 50 20 20</t>
  </si>
  <si>
    <t>Элементы конструкции</t>
  </si>
  <si>
    <t>ЭЛ 50 20 20 10</t>
  </si>
  <si>
    <t>Спиральная камера</t>
  </si>
  <si>
    <t>ЭЛ 50 20 20 20</t>
  </si>
  <si>
    <t>Водовод</t>
  </si>
  <si>
    <t>ЭЛ 50 20 20 30</t>
  </si>
  <si>
    <t>Отводящий безнапорный тоннель</t>
  </si>
  <si>
    <t>ЭЛ 50 20 20 40</t>
  </si>
  <si>
    <t>Затвор водоприемника</t>
  </si>
  <si>
    <t>ЭЛ 50 20 20 50</t>
  </si>
  <si>
    <t>Затвор водосброса</t>
  </si>
  <si>
    <t>ЭЛ 60</t>
  </si>
  <si>
    <t>Железные дороги, метрополитен</t>
  </si>
  <si>
    <t>ЭЛ 60 09</t>
  </si>
  <si>
    <t>Полоса отвода железной дороги</t>
  </si>
  <si>
    <t>ЭЛ 60 09 01</t>
  </si>
  <si>
    <t>Временная полоса отвода</t>
  </si>
  <si>
    <t>ЭЛ 60 09 02</t>
  </si>
  <si>
    <t>Земельные участки, входящие в полосу отвода</t>
  </si>
  <si>
    <t>ЭЛ 60 09 03</t>
  </si>
  <si>
    <t>Земельные участки, прилегающие к полосе отвода</t>
  </si>
  <si>
    <t>ЭЛ 60 09 04</t>
  </si>
  <si>
    <t>Земельные участки, пересекаемые полосой отвода</t>
  </si>
  <si>
    <t>ЭЛ 60 10</t>
  </si>
  <si>
    <t>Перегонные тоннели</t>
  </si>
  <si>
    <t>ЭЛ 60 10 10</t>
  </si>
  <si>
    <t>Обделка тоннеля</t>
  </si>
  <si>
    <t>ЭЛ 60 10 10 10</t>
  </si>
  <si>
    <t>Обделка кольцевая</t>
  </si>
  <si>
    <t>ЭЛ 60 10 10 20</t>
  </si>
  <si>
    <t>Обделка</t>
  </si>
  <si>
    <t>ЭЛ 60 10 20</t>
  </si>
  <si>
    <t>Путевой бетон</t>
  </si>
  <si>
    <t>ЭЛ 60 10 20 10</t>
  </si>
  <si>
    <t>Бетонное основание под путь</t>
  </si>
  <si>
    <t>ЭЛ 60 10 20 20</t>
  </si>
  <si>
    <t>Лотковый блок</t>
  </si>
  <si>
    <t>ЭЛ 60 10 30</t>
  </si>
  <si>
    <t>Тонельная крепь</t>
  </si>
  <si>
    <t>ЭЛ 60 10 30 10</t>
  </si>
  <si>
    <t>Крепь тонельная</t>
  </si>
  <si>
    <t>ЭЛ 60 20</t>
  </si>
  <si>
    <t>Верхнее строение пути, элементы пути</t>
  </si>
  <si>
    <t>ЭЛ 60 20 01</t>
  </si>
  <si>
    <t>Рельсы</t>
  </si>
  <si>
    <t>IfcRail</t>
  </si>
  <si>
    <t>ЭЛ 60 20 01 01</t>
  </si>
  <si>
    <t>Контррельс</t>
  </si>
  <si>
    <t>ЭЛ 60 20 01 02</t>
  </si>
  <si>
    <t>Рамный рельс</t>
  </si>
  <si>
    <t>ЭЛ 60 20 01 03</t>
  </si>
  <si>
    <t>ЭЛ 60 20 01 04</t>
  </si>
  <si>
    <t>Остряк</t>
  </si>
  <si>
    <t>ЭЛ 60 20 01 05</t>
  </si>
  <si>
    <t>Охранный контррельс</t>
  </si>
  <si>
    <t>ЭЛ 60 20 02</t>
  </si>
  <si>
    <t>Шпала</t>
  </si>
  <si>
    <t>IfcTrackElementTypeEnum.SLEEPE R</t>
  </si>
  <si>
    <t>ЭЛ 60 20 03</t>
  </si>
  <si>
    <t>Стрелочные переводы</t>
  </si>
  <si>
    <t>ЭЛ 60 20 03 01</t>
  </si>
  <si>
    <t>Одиночные стрелочные переводы</t>
  </si>
  <si>
    <t>ЭЛ 60 20 03 02</t>
  </si>
  <si>
    <t>Обыкновенные стрелочные переводы</t>
  </si>
  <si>
    <t>ЭЛ 60 20 03 03</t>
  </si>
  <si>
    <t>Симметричные стрелочные переводы</t>
  </si>
  <si>
    <t>ЭЛ 60 20 03 04</t>
  </si>
  <si>
    <t>Криволинейные разносторонние стрелочные переводы</t>
  </si>
  <si>
    <t>ЭЛ 60 20 03 05</t>
  </si>
  <si>
    <t>Криволинейные односторонние стрелочные переводы</t>
  </si>
  <si>
    <t>ЭЛ 60 20 03 06</t>
  </si>
  <si>
    <t>Двойные перекрестные стрелочные переводы</t>
  </si>
  <si>
    <t>ЭЛ 60 20 04</t>
  </si>
  <si>
    <t>Башмак сбрасывающий</t>
  </si>
  <si>
    <t>IfcTrackElement</t>
  </si>
  <si>
    <t>ЭЛ 60 20 05</t>
  </si>
  <si>
    <t>Путевой автостоп</t>
  </si>
  <si>
    <t>ЭЛ 60 20 06</t>
  </si>
  <si>
    <t>Упор тупиковый</t>
  </si>
  <si>
    <t>ЭЛ 60 20 07</t>
  </si>
  <si>
    <t>Столбик предельный</t>
  </si>
  <si>
    <t>ЭЛ 60 20 08</t>
  </si>
  <si>
    <t>Щебеночный балласт</t>
  </si>
  <si>
    <t>ЭЛ 60 20 09</t>
  </si>
  <si>
    <t>Мостовое полотно</t>
  </si>
  <si>
    <t>ЭЛ 60 20 10</t>
  </si>
  <si>
    <t>Глухие пересечения</t>
  </si>
  <si>
    <t>ЭЛ 60 20 10 01</t>
  </si>
  <si>
    <t>Глухое прямоугольное пересечение</t>
  </si>
  <si>
    <t>ЭЛ 60 20 11</t>
  </si>
  <si>
    <t>Съезд</t>
  </si>
  <si>
    <t>ЭЛ 60 20 11 01</t>
  </si>
  <si>
    <t>Съезд одиночный</t>
  </si>
  <si>
    <t>ЭЛ 60 20 11 02</t>
  </si>
  <si>
    <t>Съезд перекрестный</t>
  </si>
  <si>
    <t>ЭЛ 60 20 12</t>
  </si>
  <si>
    <t>Стрелка сбрасывающая</t>
  </si>
  <si>
    <t>Путевая плита</t>
  </si>
  <si>
    <t>ЭЛ 60 20 14</t>
  </si>
  <si>
    <t>Вагонный замедлитель</t>
  </si>
  <si>
    <t>ЭЛ 60 22</t>
  </si>
  <si>
    <t>Искусственные сооружения</t>
  </si>
  <si>
    <t>ЭЛ 60 22 01</t>
  </si>
  <si>
    <t>Мостовое сооружение</t>
  </si>
  <si>
    <t>ЭЛ 60 22 01 01</t>
  </si>
  <si>
    <t>Железнодорожный мост</t>
  </si>
  <si>
    <t>ЭЛ 60 30</t>
  </si>
  <si>
    <t>Аудио-видео связь</t>
  </si>
  <si>
    <t>ЭЛ 60 30 01</t>
  </si>
  <si>
    <t>Телефон</t>
  </si>
  <si>
    <t>ЭЛ 60 30 02</t>
  </si>
  <si>
    <t>Телефон тоннельной связи</t>
  </si>
  <si>
    <t>ЭЛ 60 30 03</t>
  </si>
  <si>
    <t>Колонна экстренной связи</t>
  </si>
  <si>
    <t>ЭЛ 60 30 04</t>
  </si>
  <si>
    <t>Переговорное устройство</t>
  </si>
  <si>
    <t>ЭЛ 60 35</t>
  </si>
  <si>
    <t>Элементы кабеленесущих систем</t>
  </si>
  <si>
    <t>ЭЛ 60 35 01</t>
  </si>
  <si>
    <t>Кабельный кронштейн</t>
  </si>
  <si>
    <t>ЭЛ 60 35 02</t>
  </si>
  <si>
    <t>Продольно-несущий трос</t>
  </si>
  <si>
    <t>ЭЛ 60 35 04</t>
  </si>
  <si>
    <t>Струна</t>
  </si>
  <si>
    <t>ЭЛ 60 40</t>
  </si>
  <si>
    <t>Кабельные соединения</t>
  </si>
  <si>
    <t>ЭЛ 60 40 01</t>
  </si>
  <si>
    <t>Разветвительная кабельная сборка</t>
  </si>
  <si>
    <t>ЭЛ 60 40 02</t>
  </si>
  <si>
    <t>Клемник</t>
  </si>
  <si>
    <t>ЭЛ 60 40 03</t>
  </si>
  <si>
    <t>Соединитель кабельный</t>
  </si>
  <si>
    <t>ЭЛ 60 40 04</t>
  </si>
  <si>
    <t>Переход кабельный</t>
  </si>
  <si>
    <t>ЭЛ 60 45</t>
  </si>
  <si>
    <t>Участки кабельной линии</t>
  </si>
  <si>
    <t>ЭЛ 60 45 01</t>
  </si>
  <si>
    <t>Контактный провод</t>
  </si>
  <si>
    <t>ЭЛ 60 55</t>
  </si>
  <si>
    <t>ЭЛ 60 55 06</t>
  </si>
  <si>
    <t>Датчики</t>
  </si>
  <si>
    <t>ЭЛ 60 55 06 01</t>
  </si>
  <si>
    <t>Датчик падения посторонних предметов</t>
  </si>
  <si>
    <t>ЭЛ 60 55 06 02</t>
  </si>
  <si>
    <t>Датчик высоты снежного покрова</t>
  </si>
  <si>
    <t>ЭЛ 60 55 06 03</t>
  </si>
  <si>
    <t>Датчик прохода поезда</t>
  </si>
  <si>
    <t>ЭЛ 60 55 06 04</t>
  </si>
  <si>
    <t>Датчик положения остряка стрелки</t>
  </si>
  <si>
    <t>ЭЛ 60 55 06 05</t>
  </si>
  <si>
    <t>Датчик колесной пары</t>
  </si>
  <si>
    <t>ЭЛ 70</t>
  </si>
  <si>
    <t>Автомобильные дороги</t>
  </si>
  <si>
    <t>ЭЛ 70 10</t>
  </si>
  <si>
    <t>Полоса отвода автомобильной дороги</t>
  </si>
  <si>
    <t>ЭЛ 70 10 10</t>
  </si>
  <si>
    <t>ЭЛ 70 10 20</t>
  </si>
  <si>
    <t>ЭЛ 70 10 30</t>
  </si>
  <si>
    <t>ЭЛ 70 10 40</t>
  </si>
  <si>
    <t>ЭЛ 70 20</t>
  </si>
  <si>
    <t>Земляное полотно</t>
  </si>
  <si>
    <t>IfcEarthworksElement</t>
  </si>
  <si>
    <t>ЭЛ 70 30</t>
  </si>
  <si>
    <t>Линейная часть</t>
  </si>
  <si>
    <t>IfcAlignment</t>
  </si>
  <si>
    <t>ЭЛ 70 30 01</t>
  </si>
  <si>
    <t>Ось дороги</t>
  </si>
  <si>
    <t>ЭЛ 70 30 02</t>
  </si>
  <si>
    <t>Кромка проезжей части</t>
  </si>
  <si>
    <t>ЭЛ 70 30 03</t>
  </si>
  <si>
    <t>Бровка дорожного полотна</t>
  </si>
  <si>
    <t>ЭЛ 70 30 04</t>
  </si>
  <si>
    <t>Границы бермы</t>
  </si>
  <si>
    <t>ЭЛ 70 30 05</t>
  </si>
  <si>
    <t>Внешняя бровка кювета</t>
  </si>
  <si>
    <t>ЭЛ 70 30 06</t>
  </si>
  <si>
    <t>Внешняя бровка выемки</t>
  </si>
  <si>
    <t>ЭЛ 70 30 07</t>
  </si>
  <si>
    <t>Границы велосипедной дорожки</t>
  </si>
  <si>
    <t>ЭЛ 70 30 08</t>
  </si>
  <si>
    <t>Границы тротуара/Бордюр</t>
  </si>
  <si>
    <t>ЭЛ 70 30 09</t>
  </si>
  <si>
    <t>Границы разделительной полосы</t>
  </si>
  <si>
    <t>ЭЛ 70 30 10</t>
  </si>
  <si>
    <t>ЭЛ 70 30 11</t>
  </si>
  <si>
    <t>Защитные экраны</t>
  </si>
  <si>
    <t>ЭЛ 70 40</t>
  </si>
  <si>
    <t>Поверхность дороги</t>
  </si>
  <si>
    <t>IfcGeographicElement/IfcRoad</t>
  </si>
  <si>
    <t>ЭЛ 70 40 01</t>
  </si>
  <si>
    <t>Проезжая часть</t>
  </si>
  <si>
    <t>IfcRoadPart</t>
  </si>
  <si>
    <t>ЭЛ 70 40 01 01</t>
  </si>
  <si>
    <t>Полоса движения</t>
  </si>
  <si>
    <t>ЭЛ 70 40 01 02</t>
  </si>
  <si>
    <t>Обочина</t>
  </si>
  <si>
    <t>ЭЛ 70 40 01 03</t>
  </si>
  <si>
    <t>Велосипедная дорожка</t>
  </si>
  <si>
    <t>ЭЛ 70 40 01 04</t>
  </si>
  <si>
    <t>Разделительная полоса</t>
  </si>
  <si>
    <t>ЭЛ 70 40 01 05</t>
  </si>
  <si>
    <t>Пешеходная дорожка</t>
  </si>
  <si>
    <t>ЭЛ 70 40 04</t>
  </si>
  <si>
    <t>Краевая полоса</t>
  </si>
  <si>
    <t>ЭЛ 70 40 05</t>
  </si>
  <si>
    <t>Грунтовая обочина</t>
  </si>
  <si>
    <t>ЭЛ 70 40 06</t>
  </si>
  <si>
    <t>Откос насыпи</t>
  </si>
  <si>
    <t>ЭЛ 70 40 07</t>
  </si>
  <si>
    <t>Откос выемки</t>
  </si>
  <si>
    <t>ЭЛ 70 40 08</t>
  </si>
  <si>
    <t>Дно кювета</t>
  </si>
  <si>
    <t>ЭЛ 70 40 09</t>
  </si>
  <si>
    <t>Обрез</t>
  </si>
  <si>
    <t>ЭЛ 70 40 10</t>
  </si>
  <si>
    <t>Забанкетная канава</t>
  </si>
  <si>
    <t>ЭЛ 70 40 11</t>
  </si>
  <si>
    <t>Дорожное полотно</t>
  </si>
  <si>
    <t>ЭЛ 70 40 12</t>
  </si>
  <si>
    <t>Пересечение в уровне дороги</t>
  </si>
  <si>
    <t>ЭЛ 70 40 12 01</t>
  </si>
  <si>
    <t>Пешеходный переход в уровне дороги</t>
  </si>
  <si>
    <t>ЭЛ 70 40 12 02</t>
  </si>
  <si>
    <t>Пересечение с велосипедной дорожкой в уровне с дорогой</t>
  </si>
  <si>
    <t>ЭЛ 70 40 12 03</t>
  </si>
  <si>
    <t>Пересечение дорог в одном уровне</t>
  </si>
  <si>
    <t>ЭЛ 70 40 13</t>
  </si>
  <si>
    <t>Островок безопасности</t>
  </si>
  <si>
    <t>ЭЛ 70 40 14</t>
  </si>
  <si>
    <t>Островок кругового перекрестка</t>
  </si>
  <si>
    <t>ЭЛ 70 40 15</t>
  </si>
  <si>
    <t>Парковочное место</t>
  </si>
  <si>
    <t>ЭЛ 70 50</t>
  </si>
  <si>
    <t>Санитарно-защитные зоны</t>
  </si>
  <si>
    <t>ЭЛ 70 50 01</t>
  </si>
  <si>
    <t>Природоохранные территории</t>
  </si>
  <si>
    <t>ЭЛ 70 50 02</t>
  </si>
  <si>
    <t>Зеленые насаждения</t>
  </si>
  <si>
    <t>IfcPlant</t>
  </si>
  <si>
    <t>ЭЛ 70 60</t>
  </si>
  <si>
    <t>ЭЛ 70 60 01</t>
  </si>
  <si>
    <t>Мостовые сооружения</t>
  </si>
  <si>
    <t>ЭЛ 70 60 01 01</t>
  </si>
  <si>
    <t>Мост</t>
  </si>
  <si>
    <t>ЭЛ 70 60 01 02</t>
  </si>
  <si>
    <t>Путепровод</t>
  </si>
  <si>
    <t>ЭЛ 70 60 01 03</t>
  </si>
  <si>
    <t>Эстакады</t>
  </si>
  <si>
    <t>ЭЛ 70 60 02</t>
  </si>
  <si>
    <t>Тоннели</t>
  </si>
  <si>
    <t>ЭЛ 70 60 02 01</t>
  </si>
  <si>
    <t>Тоннель длинный</t>
  </si>
  <si>
    <t>ЭЛ 70 60 02 02</t>
  </si>
  <si>
    <t>Тоннель короткий</t>
  </si>
  <si>
    <t>ЭЛ 70 60 02 03</t>
  </si>
  <si>
    <t>Тоннель кругового очертания</t>
  </si>
  <si>
    <t>ЭЛ 70 60 02 04</t>
  </si>
  <si>
    <t>Тоннель сводчатого очертания</t>
  </si>
  <si>
    <t>ЭЛ 70 60 02 05</t>
  </si>
  <si>
    <t>Тоннель эллиптического (овального) очертания</t>
  </si>
  <si>
    <t>ЭЛ 70 60 02 06</t>
  </si>
  <si>
    <t>Тоннель прямоугольного очертания</t>
  </si>
  <si>
    <t>ЭЛ 70 70</t>
  </si>
  <si>
    <t>Организация дорожного движения</t>
  </si>
  <si>
    <t>ЭЛ 70 70 01</t>
  </si>
  <si>
    <t>Знак дорожный</t>
  </si>
  <si>
    <t>ЭЛ 70 70 02</t>
  </si>
  <si>
    <t>Светофор</t>
  </si>
  <si>
    <t>ЭЛ 70 70 03</t>
  </si>
  <si>
    <t>Узлы светофорные</t>
  </si>
  <si>
    <t>ЭЛ 70 70 04</t>
  </si>
  <si>
    <t>Консоль и мостик для знаков и светофоров</t>
  </si>
  <si>
    <t>ЭЛ 70 70 05</t>
  </si>
  <si>
    <t>Ограждение барьерное</t>
  </si>
  <si>
    <t>ЭЛ 70 70 05 01</t>
  </si>
  <si>
    <t>Ограждение барьерное одноярусное</t>
  </si>
  <si>
    <t>ЭЛ 70 70 05 02</t>
  </si>
  <si>
    <t>Ограждение барьерное двухъярусное</t>
  </si>
  <si>
    <t>ЭЛ 70 70 06</t>
  </si>
  <si>
    <t>Искусственная дорожная неровность</t>
  </si>
  <si>
    <t>ЭЛ 70 70 06 01</t>
  </si>
  <si>
    <t>Лежачий полицейский</t>
  </si>
  <si>
    <t>ЭЛ 70 70 06 02</t>
  </si>
  <si>
    <t>Колесоотбойник</t>
  </si>
  <si>
    <t>ЭЛ 70 70 07</t>
  </si>
  <si>
    <t>Зеркало безопасности</t>
  </si>
  <si>
    <t>ЭЛ 70 70 08</t>
  </si>
  <si>
    <t>Демпфер</t>
  </si>
  <si>
    <t>ЭЛ 70 80</t>
  </si>
  <si>
    <t>Дорожная одежда</t>
  </si>
  <si>
    <t>ЭЛ 90</t>
  </si>
  <si>
    <t>Оснащение серверных</t>
  </si>
  <si>
    <t>ЭЛ 90 10</t>
  </si>
  <si>
    <t>Телекоммуникационные стойки и шкафы</t>
  </si>
  <si>
    <t>ЭЛ 90 10 01</t>
  </si>
  <si>
    <t>Телекоммуникационная стойка</t>
  </si>
  <si>
    <t>ЭЛ 90 10 02</t>
  </si>
  <si>
    <t>Телекоммуникационный шкаф</t>
  </si>
  <si>
    <t>ЭЛ 91</t>
  </si>
  <si>
    <t>Проект организации строительства</t>
  </si>
  <si>
    <t>ЭЛ 91 10</t>
  </si>
  <si>
    <t>Временные строительные конструкции</t>
  </si>
  <si>
    <t>ЭЛ 91 10 01</t>
  </si>
  <si>
    <t>Вспомогательная опора</t>
  </si>
  <si>
    <t>ЭЛ 91 10 02</t>
  </si>
  <si>
    <t>Пирс</t>
  </si>
  <si>
    <t>ЭЛ 91 10 03</t>
  </si>
  <si>
    <t>Подмости для размещения людей</t>
  </si>
  <si>
    <t>ЭЛ 91 10 04</t>
  </si>
  <si>
    <t>Подмости для размещения инструмента</t>
  </si>
  <si>
    <t>ЭЛ 91 10 05</t>
  </si>
  <si>
    <t>Подмости для размещения оборудования</t>
  </si>
  <si>
    <t>ЭЛ 91 10 06</t>
  </si>
  <si>
    <t>Шпунтовая стенка</t>
  </si>
  <si>
    <t>ЭЛ 91 10 07</t>
  </si>
  <si>
    <t>ЭЛ 91 10 08</t>
  </si>
  <si>
    <t>Самоподьемная платформа</t>
  </si>
  <si>
    <t>ЭЛ 91 10 09</t>
  </si>
  <si>
    <t>Переставная платформа</t>
  </si>
  <si>
    <t>ЭЛ 91 10 10</t>
  </si>
  <si>
    <t>Направляющий каркас</t>
  </si>
  <si>
    <t>ЭЛ 91 10 11</t>
  </si>
  <si>
    <t>Сборочные подмости</t>
  </si>
  <si>
    <t>ЭЛ 91 10 12</t>
  </si>
  <si>
    <t>Сборочный стапель</t>
  </si>
  <si>
    <t>ЭЛ 91 10 13</t>
  </si>
  <si>
    <t>Аванбек</t>
  </si>
  <si>
    <t>ЭЛ 91 10 14</t>
  </si>
  <si>
    <t>Арьербек</t>
  </si>
  <si>
    <t>ЭЛ 91 10 15</t>
  </si>
  <si>
    <t>Шпренгель</t>
  </si>
  <si>
    <t>ЭЛ 91 10 16</t>
  </si>
  <si>
    <t>Приемная консоль</t>
  </si>
  <si>
    <t>ЭЛ 91 10 17</t>
  </si>
  <si>
    <t>Устройства для выборки прогиба</t>
  </si>
  <si>
    <t>ЭЛ 91 10 18</t>
  </si>
  <si>
    <t>Анкерные устройства</t>
  </si>
  <si>
    <t>ЭЛ 91 10 19</t>
  </si>
  <si>
    <t>Накаточные пути</t>
  </si>
  <si>
    <t>ЭЛ 91 10 20</t>
  </si>
  <si>
    <t>Плавучие опоры с якорными системами</t>
  </si>
  <si>
    <t>ЭЛ 91 10 21</t>
  </si>
  <si>
    <t>Плашкоуты</t>
  </si>
  <si>
    <t>ЭЛ 91 10 22</t>
  </si>
  <si>
    <t>Подкрановая эстакада</t>
  </si>
  <si>
    <t>ЭЛ 91 10 23</t>
  </si>
  <si>
    <t>Рабочий мостик</t>
  </si>
  <si>
    <t>ЭЛ 91 10 24</t>
  </si>
  <si>
    <t>Временный причал</t>
  </si>
  <si>
    <t>ЭЛ 91 10 25</t>
  </si>
  <si>
    <t>Устройство для подводного бетонирования</t>
  </si>
  <si>
    <t>ЭЛ 91 10 26</t>
  </si>
  <si>
    <t>Строительные леса</t>
  </si>
  <si>
    <t>ЭЛ 91 20</t>
  </si>
  <si>
    <t>Временные ограждения строительной площадки</t>
  </si>
  <si>
    <t>ЭЛ 91 20 01</t>
  </si>
  <si>
    <t>Забор</t>
  </si>
  <si>
    <t>ЭЛ 91 20 02</t>
  </si>
  <si>
    <t>Ограждение</t>
  </si>
  <si>
    <t>ЭЛ 91 20 03</t>
  </si>
  <si>
    <t>ЭЛ 91 20 04</t>
  </si>
  <si>
    <t>Калитка</t>
  </si>
  <si>
    <t>ЭЛ 91 30</t>
  </si>
  <si>
    <t>Временные дороги</t>
  </si>
  <si>
    <t>ЭЛ 91 30 01</t>
  </si>
  <si>
    <t>Технологические выезды</t>
  </si>
  <si>
    <t>ЭЛ 91 30 02</t>
  </si>
  <si>
    <t>Внутриплощадочные дороги</t>
  </si>
  <si>
    <r>
      <rPr>
        <b/>
        <sz val="10"/>
        <rFont val="Times New Roman"/>
        <family val="1"/>
        <charset val="204"/>
      </rPr>
      <t xml:space="preserve">КЛАССИФИКАТОРЫ ДЛЯ ИНФОРМАЦИОННОГО МОДЕЛИРОВАНИЯ. Часть 8. </t>
    </r>
    <r>
      <rPr>
        <sz val="10"/>
        <rFont val="Times New Roman"/>
        <family val="1"/>
        <charset val="204"/>
      </rPr>
      <t>КЛАССИФИКАТОР «СТРОИТЕЛЬНЫЕ ИЗДЕЛИЯ И МАТЕРИАЛЫ». Москва 2024</t>
    </r>
  </si>
  <si>
    <t>Категория</t>
  </si>
  <si>
    <t>Тип или назначение</t>
  </si>
  <si>
    <t>Группа по материалу или назначению</t>
  </si>
  <si>
    <t>Подгруппа по материалу или назначению</t>
  </si>
  <si>
    <t>Строительное изделие, материл или группа материалов</t>
  </si>
  <si>
    <t>Код ОКПД2</t>
  </si>
  <si>
    <t>СТ 00</t>
  </si>
  <si>
    <t>Конструкционные материалы</t>
  </si>
  <si>
    <t xml:space="preserve"> </t>
  </si>
  <si>
    <t>СТ 00 10</t>
  </si>
  <si>
    <t>Бетон</t>
  </si>
  <si>
    <t>СТ 00 10 01</t>
  </si>
  <si>
    <t>Бетон сборный</t>
  </si>
  <si>
    <t>СТ 00 10 02</t>
  </si>
  <si>
    <t>Бетон монолитный</t>
  </si>
  <si>
    <t>СТ 00 15</t>
  </si>
  <si>
    <t>Железобетон</t>
  </si>
  <si>
    <t>СТ 00 15 01</t>
  </si>
  <si>
    <t>Железобетон сборный</t>
  </si>
  <si>
    <t>СТ 00 15 02</t>
  </si>
  <si>
    <t>Железобетон монолитный</t>
  </si>
  <si>
    <t>СТ 00 20</t>
  </si>
  <si>
    <t>Дерево</t>
  </si>
  <si>
    <t>СТ 00 30</t>
  </si>
  <si>
    <t>Камень</t>
  </si>
  <si>
    <t>СТ 00 40</t>
  </si>
  <si>
    <t>Кирпич</t>
  </si>
  <si>
    <t>СТ 00 50</t>
  </si>
  <si>
    <t>Композит</t>
  </si>
  <si>
    <t>СТ 00 60</t>
  </si>
  <si>
    <t>Сталь</t>
  </si>
  <si>
    <t>СТ 00 90</t>
  </si>
  <si>
    <t>Чугун</t>
  </si>
  <si>
    <t>СТ 10</t>
  </si>
  <si>
    <t>Строительные материалы</t>
  </si>
  <si>
    <t>СТ 10 01</t>
  </si>
  <si>
    <t>Массив дерева</t>
  </si>
  <si>
    <t>СТ 10 01 10</t>
  </si>
  <si>
    <t>Береза</t>
  </si>
  <si>
    <t>СТ 10 01 15</t>
  </si>
  <si>
    <t>Бук</t>
  </si>
  <si>
    <t>СТ 10 01 20</t>
  </si>
  <si>
    <t>Вишня</t>
  </si>
  <si>
    <t>СТ 10 01 25</t>
  </si>
  <si>
    <t>Дуб</t>
  </si>
  <si>
    <t>СТ 10 01 30</t>
  </si>
  <si>
    <t>Ель</t>
  </si>
  <si>
    <t>СТ 10 01 35</t>
  </si>
  <si>
    <t>Кедр</t>
  </si>
  <si>
    <t>СТ 10 01 40</t>
  </si>
  <si>
    <t>Клен</t>
  </si>
  <si>
    <t>СТ 10 01 45</t>
  </si>
  <si>
    <t>Лиственница</t>
  </si>
  <si>
    <t>СТ 10 01 50</t>
  </si>
  <si>
    <t>Мербау</t>
  </si>
  <si>
    <t>СТ 10 01 55</t>
  </si>
  <si>
    <t>Орех</t>
  </si>
  <si>
    <t>СТ 10 01 60</t>
  </si>
  <si>
    <t>Сосна</t>
  </si>
  <si>
    <t>СТ 10 01 65</t>
  </si>
  <si>
    <t>Ясень</t>
  </si>
  <si>
    <t>СТ 10 02</t>
  </si>
  <si>
    <t>Металл</t>
  </si>
  <si>
    <t>СТ 10 02 10</t>
  </si>
  <si>
    <t>Черные металлы, сталь, чугун</t>
  </si>
  <si>
    <t>СТ 10 02 10 10</t>
  </si>
  <si>
    <t>СТ 10 02 10 10 10</t>
  </si>
  <si>
    <t>Высокопрочный чугун</t>
  </si>
  <si>
    <t>СТ 10 02 10 10 20</t>
  </si>
  <si>
    <t>Ковкий чугун</t>
  </si>
  <si>
    <t>СТ 10 02 10 10 30</t>
  </si>
  <si>
    <t>Серый чугун</t>
  </si>
  <si>
    <t>СТ 10 02 10 20</t>
  </si>
  <si>
    <t>Сталь углеродистая</t>
  </si>
  <si>
    <t>СТ 10 02 10 20 10</t>
  </si>
  <si>
    <t>Сталь высокоуглеродистая</t>
  </si>
  <si>
    <t>СТ 10 02 10 20 20</t>
  </si>
  <si>
    <t>Сталь низкоуглеродистая</t>
  </si>
  <si>
    <t>СТ 10 02 10 20 30</t>
  </si>
  <si>
    <t>Сталь среднеуглеродистая</t>
  </si>
  <si>
    <t>СТ 10 02 10 30</t>
  </si>
  <si>
    <t>Сталь легированная</t>
  </si>
  <si>
    <t>СТ 10 02 10 30 10</t>
  </si>
  <si>
    <t>Сталь высоколегированная</t>
  </si>
  <si>
    <t>СТ 10 02 10 30 20</t>
  </si>
  <si>
    <t>Сталь низколегированная</t>
  </si>
  <si>
    <t>СТ 10 02 10 40</t>
  </si>
  <si>
    <t>Сталь коррозионно-стойкая</t>
  </si>
  <si>
    <t>СТ 10 02 10 50</t>
  </si>
  <si>
    <t>Сталь жаропрочная</t>
  </si>
  <si>
    <t>СТ 10 02 20</t>
  </si>
  <si>
    <t>Цветные металлы, сплавы</t>
  </si>
  <si>
    <t>СТ 10 02 20 10</t>
  </si>
  <si>
    <t>СТ 10 02 20 15</t>
  </si>
  <si>
    <t>Бронза</t>
  </si>
  <si>
    <t>СТ 10 02 20 20</t>
  </si>
  <si>
    <t>Вольфрам</t>
  </si>
  <si>
    <t>СТ 10 02 20 25</t>
  </si>
  <si>
    <t>Латунь</t>
  </si>
  <si>
    <t>СТ 10 02 20 30</t>
  </si>
  <si>
    <t>Медь</t>
  </si>
  <si>
    <t>СТ 10 02 20 35</t>
  </si>
  <si>
    <t>Никель</t>
  </si>
  <si>
    <t>СТ 10 02 20 40</t>
  </si>
  <si>
    <t>Олово</t>
  </si>
  <si>
    <t>СТ 10 02 20 45</t>
  </si>
  <si>
    <t>Свинец</t>
  </si>
  <si>
    <t>СТ 10 02 20 45 10</t>
  </si>
  <si>
    <t>Лист свинцовый</t>
  </si>
  <si>
    <t>СТ 10 02 20 50</t>
  </si>
  <si>
    <t>Титановый сплав</t>
  </si>
  <si>
    <t>СТ 10 02 20 55</t>
  </si>
  <si>
    <t>Цинк</t>
  </si>
  <si>
    <t>СТ 10 03</t>
  </si>
  <si>
    <t>Битумы нефтяные</t>
  </si>
  <si>
    <t>СТ 10 03 10</t>
  </si>
  <si>
    <t>Битумы нефтяные кровельные</t>
  </si>
  <si>
    <t>19.20.42.123</t>
  </si>
  <si>
    <t>СТ 10 03 10 10</t>
  </si>
  <si>
    <t>БНК-40/180</t>
  </si>
  <si>
    <t>СТ 10 03 10 20</t>
  </si>
  <si>
    <t>БНК-45/190</t>
  </si>
  <si>
    <t>СТ 10 03 10 30</t>
  </si>
  <si>
    <t>БНК-90/30</t>
  </si>
  <si>
    <t>СТ 10 03 20</t>
  </si>
  <si>
    <t>Битумы нефтяные строительные</t>
  </si>
  <si>
    <t>19.20.42.122</t>
  </si>
  <si>
    <t>СТ 10 03 20 10</t>
  </si>
  <si>
    <t>БН 50/50</t>
  </si>
  <si>
    <t>СТ 10 03 20 20</t>
  </si>
  <si>
    <t>БН 70/30</t>
  </si>
  <si>
    <t>СТ 10 03 20 30</t>
  </si>
  <si>
    <t>БН 90/10</t>
  </si>
  <si>
    <t>СТ 10 03 25</t>
  </si>
  <si>
    <t>Битумы нефтяные изоляционные</t>
  </si>
  <si>
    <t>СТ 10 03 25 10</t>
  </si>
  <si>
    <t>БНИ-IV-З</t>
  </si>
  <si>
    <t>СТ 10 03 25 20</t>
  </si>
  <si>
    <t>БНИ-IV</t>
  </si>
  <si>
    <t>СТ 10 03 25 30</t>
  </si>
  <si>
    <t>БНИ-V</t>
  </si>
  <si>
    <t>СТ 10 03 30</t>
  </si>
  <si>
    <t>Битумы нефтяные дорожные жидкие</t>
  </si>
  <si>
    <t>19.20.42.121</t>
  </si>
  <si>
    <t>СТ 10 03 30 10</t>
  </si>
  <si>
    <t>СГ 40/70</t>
  </si>
  <si>
    <t>СТ 10 03 30 20</t>
  </si>
  <si>
    <t>СГ 70/130</t>
  </si>
  <si>
    <t>СТ 10 03 30 30</t>
  </si>
  <si>
    <t>СГ 130/200</t>
  </si>
  <si>
    <t>СТ 10 03 30 40</t>
  </si>
  <si>
    <t>МГ 40/70</t>
  </si>
  <si>
    <t>СТ 10 03 30 50</t>
  </si>
  <si>
    <t>МГ 70/130</t>
  </si>
  <si>
    <t>СТ 10 03 30 60</t>
  </si>
  <si>
    <t>МГ 130/200</t>
  </si>
  <si>
    <t>СТ 10 03 30 70</t>
  </si>
  <si>
    <t>МГО 40/70</t>
  </si>
  <si>
    <t>СТ 10 03 30 80</t>
  </si>
  <si>
    <t>МГО 70/130</t>
  </si>
  <si>
    <t>СТ 10 03 30 90</t>
  </si>
  <si>
    <t>МГО 130/200</t>
  </si>
  <si>
    <t>СТ 10 03 40</t>
  </si>
  <si>
    <t>Битумы нефтяные дорожные вязкие</t>
  </si>
  <si>
    <t>СТ 10 03 40 10</t>
  </si>
  <si>
    <t>БНД 200/300</t>
  </si>
  <si>
    <t>СТ 10 03 40 20</t>
  </si>
  <si>
    <t>БНД 130/200</t>
  </si>
  <si>
    <t>СТ 10 03 40 30</t>
  </si>
  <si>
    <t>БНД 90/130</t>
  </si>
  <si>
    <t>СТ 10 03 40 40</t>
  </si>
  <si>
    <t>БНД 60/90</t>
  </si>
  <si>
    <t>СТ 10 03 40 50</t>
  </si>
  <si>
    <t>БНД 40/60</t>
  </si>
  <si>
    <t>СТ 10 03 40 60</t>
  </si>
  <si>
    <t>БН 200/300</t>
  </si>
  <si>
    <t>СТ 10 03 40 70</t>
  </si>
  <si>
    <t>БН 130/200</t>
  </si>
  <si>
    <t>СТ 10 03 40 80</t>
  </si>
  <si>
    <t>БН 90/130</t>
  </si>
  <si>
    <t>СТ 10 03 40 90</t>
  </si>
  <si>
    <t>БН 60/90</t>
  </si>
  <si>
    <t>СТ 10 04</t>
  </si>
  <si>
    <t>Мастики</t>
  </si>
  <si>
    <t>20.30.22.180</t>
  </si>
  <si>
    <t>СТ 10 04 10</t>
  </si>
  <si>
    <t>Мастики кровельные</t>
  </si>
  <si>
    <t>СТ 10 04 10 10</t>
  </si>
  <si>
    <t>Мастика кровельная битумная</t>
  </si>
  <si>
    <t>СТ 10 04 10 20</t>
  </si>
  <si>
    <t>Мастика кровельная битумно-полимерная</t>
  </si>
  <si>
    <t>СТ 10 04 10 30</t>
  </si>
  <si>
    <t>Мастика кровельная битумно-резиновая</t>
  </si>
  <si>
    <t>СТ 10 04 10 40</t>
  </si>
  <si>
    <t>Мастика кровельная битумно-эмульсионная</t>
  </si>
  <si>
    <t>СТ 10 04 10 50</t>
  </si>
  <si>
    <t>Мастика кровельная полимерная</t>
  </si>
  <si>
    <t>СТ 10 04 20</t>
  </si>
  <si>
    <t>Мастики герметизирующие и уплотняющие</t>
  </si>
  <si>
    <t>СТ 10 04 20 10</t>
  </si>
  <si>
    <t>Мастика акрилатная</t>
  </si>
  <si>
    <t>СТ 10 04 20 20</t>
  </si>
  <si>
    <t>Мастика бутилкаучуковая</t>
  </si>
  <si>
    <t>СТ 10 04 20 30</t>
  </si>
  <si>
    <t>Мастика полиизобутиленовая</t>
  </si>
  <si>
    <t>СТ 10 04 20 40</t>
  </si>
  <si>
    <t>Мастика полиуретановая</t>
  </si>
  <si>
    <t>СТ 10 04 20 50</t>
  </si>
  <si>
    <t>Мастика силиконовая</t>
  </si>
  <si>
    <t>СТ 10 04 20 60</t>
  </si>
  <si>
    <t>Мастика тиоколовая</t>
  </si>
  <si>
    <t>СТ 10 04 20 70</t>
  </si>
  <si>
    <t>Мастика этиленпропиленовая</t>
  </si>
  <si>
    <t>СТ 10 05</t>
  </si>
  <si>
    <t>Герметики</t>
  </si>
  <si>
    <t>20.30.22.170</t>
  </si>
  <si>
    <t>СТ 10 05 10</t>
  </si>
  <si>
    <t>Герметик акриловый</t>
  </si>
  <si>
    <t>СТ 10 05 20</t>
  </si>
  <si>
    <t>Герметик битумный</t>
  </si>
  <si>
    <t>СТ 10 05 30</t>
  </si>
  <si>
    <t>Герметик полиуретановый</t>
  </si>
  <si>
    <t>СТ 10 05 40</t>
  </si>
  <si>
    <t>Герметик силиконовый</t>
  </si>
  <si>
    <t>СТ 10 05 50</t>
  </si>
  <si>
    <t>Герметик тиоколовый</t>
  </si>
  <si>
    <t>СТ 10 06</t>
  </si>
  <si>
    <t>Смолы</t>
  </si>
  <si>
    <t>СТ 10 06 10</t>
  </si>
  <si>
    <t>Смола буроугольная</t>
  </si>
  <si>
    <t>19.10.20.120</t>
  </si>
  <si>
    <t>СТ 10 06 20</t>
  </si>
  <si>
    <t>Смола каменно-угольная</t>
  </si>
  <si>
    <t>19.10.20.110</t>
  </si>
  <si>
    <t>СТ 10 06 30</t>
  </si>
  <si>
    <t>Смола пенополиуретановая</t>
  </si>
  <si>
    <t>СТ 10 06 40</t>
  </si>
  <si>
    <t>Смола полиуретановая</t>
  </si>
  <si>
    <t>20.16.56.190</t>
  </si>
  <si>
    <t>СТ 10 06 50</t>
  </si>
  <si>
    <t>Смола торфяная</t>
  </si>
  <si>
    <t>19.10.20.130</t>
  </si>
  <si>
    <t>СТ 10 06 60</t>
  </si>
  <si>
    <t>Смола эпоксидная</t>
  </si>
  <si>
    <t>20.16.40.130</t>
  </si>
  <si>
    <t>СТ 10 07</t>
  </si>
  <si>
    <t>Материалы перегородок</t>
  </si>
  <si>
    <t>СТ 10 07 10</t>
  </si>
  <si>
    <t>Алюминиевый каркас</t>
  </si>
  <si>
    <t>СТ 10 07 11</t>
  </si>
  <si>
    <t>Блоки газобетонные</t>
  </si>
  <si>
    <t>СТ 10 07 12</t>
  </si>
  <si>
    <t>Блоки пенобетонные</t>
  </si>
  <si>
    <t>СТ 10 07 13</t>
  </si>
  <si>
    <t>Блоки газопенобетонные</t>
  </si>
  <si>
    <t>СТ 10 07 15</t>
  </si>
  <si>
    <t>Деревянный каркас</t>
  </si>
  <si>
    <t>СТ 10 07 20</t>
  </si>
  <si>
    <t>СТ 10 07 25</t>
  </si>
  <si>
    <t>Металлокаркас</t>
  </si>
  <si>
    <t>СТ 10 07 30</t>
  </si>
  <si>
    <t>Блоки пазогребневые</t>
  </si>
  <si>
    <t>СТ 10 07 35</t>
  </si>
  <si>
    <t>Плиты пазогребневые</t>
  </si>
  <si>
    <t>СТ 10 08</t>
  </si>
  <si>
    <t>Кладочные и облицовочные растворы</t>
  </si>
  <si>
    <t>СТ 10 08 10</t>
  </si>
  <si>
    <t>Кладочные растворы</t>
  </si>
  <si>
    <t>СТ 10 08 10 10</t>
  </si>
  <si>
    <t>Раствор гипсовый</t>
  </si>
  <si>
    <t>СТ 10 08 10 20</t>
  </si>
  <si>
    <t>Раствор известковый</t>
  </si>
  <si>
    <t>СТ 10 08 10 30</t>
  </si>
  <si>
    <t>Раствор цементный</t>
  </si>
  <si>
    <t>СТ 10 08 10 40</t>
  </si>
  <si>
    <t>Раствор цементно-известковый</t>
  </si>
  <si>
    <t>СТ 10 08 10 50</t>
  </si>
  <si>
    <t>Раствор известково-гипсовый</t>
  </si>
  <si>
    <t>СТ 10 08 10 60</t>
  </si>
  <si>
    <t>Раствор цементно-песчаный</t>
  </si>
  <si>
    <t>СТ 10 08 20</t>
  </si>
  <si>
    <t>Облицовочные растворы</t>
  </si>
  <si>
    <t>СТ 10 08 20 10</t>
  </si>
  <si>
    <t>Раствор цементно-песчаный (портландцемент)</t>
  </si>
  <si>
    <t>СТ 10 08 20 20</t>
  </si>
  <si>
    <t>Раствор цементно-глиняный</t>
  </si>
  <si>
    <t>СТ 10 08 20 30</t>
  </si>
  <si>
    <t>Раствор глиняный</t>
  </si>
  <si>
    <t>СТ 10 09</t>
  </si>
  <si>
    <t>Вяжущие материалы</t>
  </si>
  <si>
    <t>СТ 10 09 10</t>
  </si>
  <si>
    <t>Цемент</t>
  </si>
  <si>
    <t>СТ 10 09 10 10</t>
  </si>
  <si>
    <t>Портландцементы</t>
  </si>
  <si>
    <t>СТ 10 09 10 10 10</t>
  </si>
  <si>
    <t>Портландцемент</t>
  </si>
  <si>
    <t>СТ 10 09 10 10 20</t>
  </si>
  <si>
    <t>Портландцемент с минеральными добавками</t>
  </si>
  <si>
    <t>СТ 10 09 10 10 30</t>
  </si>
  <si>
    <t>Шлакопортландцемент</t>
  </si>
  <si>
    <t>СТ 10 09 10 20</t>
  </si>
  <si>
    <t>Сульфатостойкие цементы</t>
  </si>
  <si>
    <t>СТ 10 09 10 20 10</t>
  </si>
  <si>
    <t>Сульфатостойкий портландцемент</t>
  </si>
  <si>
    <t>СТ 10 09 10 20 20</t>
  </si>
  <si>
    <t>Сульфатостойкий портландцемент с минеральными добавками</t>
  </si>
  <si>
    <t>СТ 10 09 10 20 30</t>
  </si>
  <si>
    <t>Сульфатостойкий шлакопортландцемент</t>
  </si>
  <si>
    <t>СТ 10 09 10 20 40</t>
  </si>
  <si>
    <t>Пуццолановый портландцемент</t>
  </si>
  <si>
    <t>СТ 10 09 10 30</t>
  </si>
  <si>
    <t>Глиноземистые цементы</t>
  </si>
  <si>
    <t>СТ 10 09 10 30 10</t>
  </si>
  <si>
    <t>Высокоглиноземистый цемент I (ВГЦ I)</t>
  </si>
  <si>
    <t>СТ 10 09 10 30 20</t>
  </si>
  <si>
    <t>Высокоглиноземистый цемент II (ВГЦ II)</t>
  </si>
  <si>
    <t>СТ 10 09 10 30 30</t>
  </si>
  <si>
    <t>Высокоглиноземистый цемент III (ВГЦ III)</t>
  </si>
  <si>
    <t>СТ 10 09 10 30 40</t>
  </si>
  <si>
    <t>Глиноземистый цемент (ГЦ)</t>
  </si>
  <si>
    <t>СТ 10 09 20</t>
  </si>
  <si>
    <t>Известь</t>
  </si>
  <si>
    <t>СТ 10 09 20 10</t>
  </si>
  <si>
    <t>Известь гашеная (гидратная)</t>
  </si>
  <si>
    <t>СТ 10 09 20 20</t>
  </si>
  <si>
    <t>Известь негашеная</t>
  </si>
  <si>
    <t>СТ 10 09 20 30</t>
  </si>
  <si>
    <t>Мел комовый</t>
  </si>
  <si>
    <t>СТ 10 09 20 40</t>
  </si>
  <si>
    <t>Мел молотый</t>
  </si>
  <si>
    <t>СТ 10 09 30</t>
  </si>
  <si>
    <t>Шлак</t>
  </si>
  <si>
    <t>СТ 10 09 30 10</t>
  </si>
  <si>
    <t>Шлак доменный</t>
  </si>
  <si>
    <t>СТ 10 09 40</t>
  </si>
  <si>
    <t>Гипс</t>
  </si>
  <si>
    <t>СТ 10 09 40 10</t>
  </si>
  <si>
    <t>Ангидритовое вяжущее</t>
  </si>
  <si>
    <t>СТ 10 09 40 20</t>
  </si>
  <si>
    <t>Высокообжиговый гипс</t>
  </si>
  <si>
    <t>СТ 10 09 40 30</t>
  </si>
  <si>
    <t>Гипсовое вяжущее</t>
  </si>
  <si>
    <t>СТ 10 10</t>
  </si>
  <si>
    <t>Галька, гравий, щебень, камень, пески, стекло</t>
  </si>
  <si>
    <t>СТ 10 10 10</t>
  </si>
  <si>
    <t>Галька</t>
  </si>
  <si>
    <t>08.12.12.120</t>
  </si>
  <si>
    <t>СТ 10 10 20</t>
  </si>
  <si>
    <t>Гравий</t>
  </si>
  <si>
    <t>СТ 10 10 20 10</t>
  </si>
  <si>
    <t>Гравий аглопоритовый</t>
  </si>
  <si>
    <t>08.12.12.132</t>
  </si>
  <si>
    <t>СТ 10 10 20 20</t>
  </si>
  <si>
    <t>Гравий гранитный</t>
  </si>
  <si>
    <t>08.12.12.133</t>
  </si>
  <si>
    <t>СТ 10 10 20 30</t>
  </si>
  <si>
    <t>Гравий керамзитовый</t>
  </si>
  <si>
    <t>08.12.12.130</t>
  </si>
  <si>
    <t>СТ 10 10 20 40</t>
  </si>
  <si>
    <t>Гравий шунгизитовый</t>
  </si>
  <si>
    <t>08.12.12.131</t>
  </si>
  <si>
    <t>СТ 10 10 30</t>
  </si>
  <si>
    <t>Песок природный</t>
  </si>
  <si>
    <t>СТ 10 10 30 10</t>
  </si>
  <si>
    <t>Песок баритовый</t>
  </si>
  <si>
    <t>СТ 10 10 30 20</t>
  </si>
  <si>
    <t>Песок каолиновый</t>
  </si>
  <si>
    <t>08.12.11.130</t>
  </si>
  <si>
    <t>СТ 10 10 30 30</t>
  </si>
  <si>
    <t>Песок кварцевый</t>
  </si>
  <si>
    <t>08.12.11.120</t>
  </si>
  <si>
    <t>СТ 10 10 30 40</t>
  </si>
  <si>
    <t>Песок кремнистый</t>
  </si>
  <si>
    <t>08.12.11.110</t>
  </si>
  <si>
    <t>СТ 10 10 31</t>
  </si>
  <si>
    <t>Песок дробленый</t>
  </si>
  <si>
    <t>СТ 10 10 31 10</t>
  </si>
  <si>
    <t>Песок аглопоритовый</t>
  </si>
  <si>
    <t>СТ 10 10 31 20</t>
  </si>
  <si>
    <t>Песок керамзитовый</t>
  </si>
  <si>
    <t>СТ 10 10 31 30</t>
  </si>
  <si>
    <t>Песок шунгизитовый</t>
  </si>
  <si>
    <t>СТ 10 10 32</t>
  </si>
  <si>
    <t>СТ 10 10 40</t>
  </si>
  <si>
    <t>Щебень</t>
  </si>
  <si>
    <t>08.12.12.140</t>
  </si>
  <si>
    <t>СТ 10 10 40 10</t>
  </si>
  <si>
    <t>Щебень аглопоритовый</t>
  </si>
  <si>
    <t>СТ 10 10 40 20</t>
  </si>
  <si>
    <t>Щебень гравийный</t>
  </si>
  <si>
    <t>СТ 10 10 40 30</t>
  </si>
  <si>
    <t>Щебень гранитный</t>
  </si>
  <si>
    <t>СТ 10 10 40 40</t>
  </si>
  <si>
    <t>Щебень из бетона</t>
  </si>
  <si>
    <t>СТ 10 10 40 50</t>
  </si>
  <si>
    <t>Щебень из кирпича</t>
  </si>
  <si>
    <t>СТ 10 10 40 60</t>
  </si>
  <si>
    <t>Щебень из природного камня</t>
  </si>
  <si>
    <t>СТ 10 10 40 70</t>
  </si>
  <si>
    <t>Щебень керамзитовый</t>
  </si>
  <si>
    <t>СТ 10 10 40 80</t>
  </si>
  <si>
    <t>Щебень керамический</t>
  </si>
  <si>
    <t>СТ 10 10 40 90</t>
  </si>
  <si>
    <t>Щебень шлакопемзовый</t>
  </si>
  <si>
    <t>СТ 10 10 50</t>
  </si>
  <si>
    <t>СТ 10 10 50 10</t>
  </si>
  <si>
    <t>Ангидрит</t>
  </si>
  <si>
    <t>08.11.20.130</t>
  </si>
  <si>
    <t>СТ 10 10 50 20</t>
  </si>
  <si>
    <t>08.11.20.120</t>
  </si>
  <si>
    <t>СТ 10 10 50 30</t>
  </si>
  <si>
    <t>Гранит</t>
  </si>
  <si>
    <t>08.11.12.151</t>
  </si>
  <si>
    <t>СТ 10 10 50 40</t>
  </si>
  <si>
    <t>Известняк</t>
  </si>
  <si>
    <t>08.11.11.190</t>
  </si>
  <si>
    <t>СТ 10 10 50 50</t>
  </si>
  <si>
    <t>Камень бетонный</t>
  </si>
  <si>
    <t>СТ 10 10 50 60</t>
  </si>
  <si>
    <t>Камень бутовый</t>
  </si>
  <si>
    <t>СТ 10 10 50 70</t>
  </si>
  <si>
    <t>Мрамор</t>
  </si>
  <si>
    <t>08.11.11.110</t>
  </si>
  <si>
    <t>СТ 10 10 50 80</t>
  </si>
  <si>
    <t>Сланец</t>
  </si>
  <si>
    <t>СТ 10 10 60</t>
  </si>
  <si>
    <t>СТ 10 10 60 10</t>
  </si>
  <si>
    <t>Стекло армированное</t>
  </si>
  <si>
    <t>СТ 10 10 60 20</t>
  </si>
  <si>
    <t>Стекло закаленное</t>
  </si>
  <si>
    <t>СТ 10 10 60 30</t>
  </si>
  <si>
    <t>Стекло листовое</t>
  </si>
  <si>
    <t>СТ 10 10 60 40</t>
  </si>
  <si>
    <t>Трехслойное стекло (триплекс)</t>
  </si>
  <si>
    <t>СТ 10 12</t>
  </si>
  <si>
    <t>Материалы кровельного покрытия</t>
  </si>
  <si>
    <t>СТ 10 12 10</t>
  </si>
  <si>
    <t>Черепичные материалы</t>
  </si>
  <si>
    <t>СТ 10 12 10 10</t>
  </si>
  <si>
    <t>Гибкая черепица</t>
  </si>
  <si>
    <t>СТ 10 12 10 20</t>
  </si>
  <si>
    <t>Керамическая черепица</t>
  </si>
  <si>
    <t>СТ 10 12 10 30</t>
  </si>
  <si>
    <t>Композитная черепица</t>
  </si>
  <si>
    <t>СТ 10 12 10 40</t>
  </si>
  <si>
    <t>Кровельный сланец</t>
  </si>
  <si>
    <t>СТ 10 12 10 50</t>
  </si>
  <si>
    <t>Металлочерепица</t>
  </si>
  <si>
    <t>СТ 10 12 10 60</t>
  </si>
  <si>
    <t>Цементно-песчаная черепица</t>
  </si>
  <si>
    <t>СТ 10 12 20</t>
  </si>
  <si>
    <t>Листовые материалы</t>
  </si>
  <si>
    <t>СТ 10 12 20 10</t>
  </si>
  <si>
    <t>Кровельная медь</t>
  </si>
  <si>
    <t>СТ 10 12 20 20</t>
  </si>
  <si>
    <t>Кровельная сталь</t>
  </si>
  <si>
    <t>СТ 10 12 20 30</t>
  </si>
  <si>
    <t>Кровельный алюминий</t>
  </si>
  <si>
    <t>СТ 10 12 20 40</t>
  </si>
  <si>
    <t>Листы из титан-цинка</t>
  </si>
  <si>
    <t>СТ 10 12 30</t>
  </si>
  <si>
    <t>Профнастил</t>
  </si>
  <si>
    <t>СТ 10 12 30 10</t>
  </si>
  <si>
    <t>Профнастил из кровельной стали</t>
  </si>
  <si>
    <t>СТ 10 12 40</t>
  </si>
  <si>
    <t>Битумный профиль</t>
  </si>
  <si>
    <t>СТ 10 12 40 10</t>
  </si>
  <si>
    <t>Ондулин</t>
  </si>
  <si>
    <t>СТ 10 12 50</t>
  </si>
  <si>
    <t>Композиционные материалы</t>
  </si>
  <si>
    <t>СТ 10 12 50 10</t>
  </si>
  <si>
    <t>Лист волнистый хризотилцементный с симметричными кромками</t>
  </si>
  <si>
    <t>СТ 10 12 50 20</t>
  </si>
  <si>
    <t>Лист волнистый хризотилцементный с асимметричными кромками</t>
  </si>
  <si>
    <t>СТ 10 13</t>
  </si>
  <si>
    <t>Отделочные материалы</t>
  </si>
  <si>
    <t>СТ 10 13 10</t>
  </si>
  <si>
    <t>Отделочные материалы фасадов</t>
  </si>
  <si>
    <t>СТ 10 13 10 10</t>
  </si>
  <si>
    <t>Камень, плитка</t>
  </si>
  <si>
    <t>СТ 10 13 10 10 10</t>
  </si>
  <si>
    <t>Камень искусственный</t>
  </si>
  <si>
    <t>СТ 10 13 10 10 20</t>
  </si>
  <si>
    <t>Камень природный</t>
  </si>
  <si>
    <t>СТ 10 13 10 10 30</t>
  </si>
  <si>
    <t>Керамогранит</t>
  </si>
  <si>
    <t>СТ 10 13 10 10 40</t>
  </si>
  <si>
    <t>Клинкерная плитка</t>
  </si>
  <si>
    <t>СТ 10 13 10 10 50</t>
  </si>
  <si>
    <t>Клинкерный кирпич</t>
  </si>
  <si>
    <t>СТ 10 13 10 10 60</t>
  </si>
  <si>
    <t>Плитка керамическая фасадная</t>
  </si>
  <si>
    <t>23.31.10.123</t>
  </si>
  <si>
    <t>СТ 10 13 10 20</t>
  </si>
  <si>
    <t>Сайдинг</t>
  </si>
  <si>
    <t>СТ 10 13 10 20 10</t>
  </si>
  <si>
    <t>Сайдинг виниловый</t>
  </si>
  <si>
    <t>СТ 10 13 10 20 20</t>
  </si>
  <si>
    <t>Сайдинг деревянный</t>
  </si>
  <si>
    <t>СТ 10 13 10 20 30</t>
  </si>
  <si>
    <t>Сайдинг металлический</t>
  </si>
  <si>
    <t>СТ 10 13 10 20 40</t>
  </si>
  <si>
    <t>Сайдинг цементный</t>
  </si>
  <si>
    <t>СТ 10 13 10 30</t>
  </si>
  <si>
    <t>Плиты и листы хризотилцементные</t>
  </si>
  <si>
    <t>СТ 10 13 10 30 10</t>
  </si>
  <si>
    <t>Лист плоский хризотилцементный непрессованный (ЛПН)</t>
  </si>
  <si>
    <t>СТ 10 13 10 30 20</t>
  </si>
  <si>
    <t>Лист плоский хризотилцементный прессованный (ЛПП)</t>
  </si>
  <si>
    <t>СТ 10 13 10 30 30</t>
  </si>
  <si>
    <t>Плита прессованная фасадная с гладкой поверхностью без защитно-декоративного покрытия (ППФГО)</t>
  </si>
  <si>
    <t>СТ 10 13 10 30 40</t>
  </si>
  <si>
    <t>Плита прессованная фасадная с рельефной поверхностью без защитно-декоративного покрытия (ППФРО)</t>
  </si>
  <si>
    <t>СТ 10 13 10 30 50</t>
  </si>
  <si>
    <t>Плита прессованная фасадная с гладкой поверхностью с лакокрасочным защитно-декоративным покрытием (ППФГЛК)</t>
  </si>
  <si>
    <t>СТ 10 13 10 30 60</t>
  </si>
  <si>
    <t>Плита прессованная фасадная с рельефной поверхностью с лакокрасочным защитно- декоративным покрытием (ППФРЛК)</t>
  </si>
  <si>
    <t>СТ 10 13 10 30 70</t>
  </si>
  <si>
    <t>Плита прессованная фасадная с защитно- декоративным покрытием декоративной крошкой из природного камня (ППФДК)</t>
  </si>
  <si>
    <t>СТ 10 13 15</t>
  </si>
  <si>
    <t>Листы гипсокартона</t>
  </si>
  <si>
    <t>СТ 10 13 15 10</t>
  </si>
  <si>
    <t>Гипсокартонный лист обычный ГКЛ</t>
  </si>
  <si>
    <t>СТ 10 13 15 20</t>
  </si>
  <si>
    <t>Гипсокартонный лист влагостойкий ГКЛВ</t>
  </si>
  <si>
    <t>СТ 10 13 15 30</t>
  </si>
  <si>
    <t>Гипсокартонный лист (против открытого пламени) ГКЛО</t>
  </si>
  <si>
    <t>СТ 10 13 15 40</t>
  </si>
  <si>
    <t>Гипсокартонный лист влагостойкий (против открытого пламени) ГКЛВО</t>
  </si>
  <si>
    <t>СТ 10 13 20</t>
  </si>
  <si>
    <t>Листы гипсоволокнистые</t>
  </si>
  <si>
    <t>СТ 10 13 20 10</t>
  </si>
  <si>
    <t>Гипсоволокнистый лист обычный ГВЛ</t>
  </si>
  <si>
    <t>СТ 10 13 20 20</t>
  </si>
  <si>
    <t>Гипсоволокнистый лист влагостойкий ГВЛВ</t>
  </si>
  <si>
    <t>СТ 10 13 20 30</t>
  </si>
  <si>
    <t>Гипсофибровый лист (ГФЛ)</t>
  </si>
  <si>
    <t>СТ 10 13 25</t>
  </si>
  <si>
    <t>Стекломагниевый лист</t>
  </si>
  <si>
    <t>СТ 10 13 30</t>
  </si>
  <si>
    <t>Штукатурные растворы</t>
  </si>
  <si>
    <t>СТ 10 13 30 15</t>
  </si>
  <si>
    <t>Цементно-известковая штукатурка</t>
  </si>
  <si>
    <t>СТ 10 13 30 20</t>
  </si>
  <si>
    <t>Гипсовая штукатурка</t>
  </si>
  <si>
    <t>СТ 10 13 30 25</t>
  </si>
  <si>
    <t>Глиняная штукатурка</t>
  </si>
  <si>
    <t>СТ 10 13 30 30</t>
  </si>
  <si>
    <t>Глиноизвестковая штукатурка</t>
  </si>
  <si>
    <t>СТ 10 13 30 35</t>
  </si>
  <si>
    <t>Минеральная штукатурка</t>
  </si>
  <si>
    <t>СТ 10 13 30 40</t>
  </si>
  <si>
    <t>Акриловая штукатурка</t>
  </si>
  <si>
    <t>СТ 10 13 30 45</t>
  </si>
  <si>
    <t>Силикатная штукатурка</t>
  </si>
  <si>
    <t>СТ 10 13 30 50</t>
  </si>
  <si>
    <t>Известковая штукатурка</t>
  </si>
  <si>
    <t>СТ 10 13 30 55</t>
  </si>
  <si>
    <t>Штукатурка баритовая</t>
  </si>
  <si>
    <t>СТ 10 13 30 60</t>
  </si>
  <si>
    <t>Известково-гипсовая штукатурка</t>
  </si>
  <si>
    <t>СТ 10 13 35</t>
  </si>
  <si>
    <t>Краски</t>
  </si>
  <si>
    <t>СТ 10 13 35 10</t>
  </si>
  <si>
    <t>Акриловая краска</t>
  </si>
  <si>
    <t>СТ 10 13 35 15</t>
  </si>
  <si>
    <t>Латексная краска</t>
  </si>
  <si>
    <t>СТ 10 13 35 20</t>
  </si>
  <si>
    <t>Водоэмульсионная краска</t>
  </si>
  <si>
    <t>СТ 10 13 35 25</t>
  </si>
  <si>
    <t>Водно-дисперсионная краска</t>
  </si>
  <si>
    <t>СТ 10 13 35 30</t>
  </si>
  <si>
    <t>Силиконовая краска</t>
  </si>
  <si>
    <t>СТ 10 13 35 35</t>
  </si>
  <si>
    <t>Силикатная краска</t>
  </si>
  <si>
    <t>СТ 10 13 35 40</t>
  </si>
  <si>
    <t>Полиуретановая краска</t>
  </si>
  <si>
    <t>СТ 10 13 35 45</t>
  </si>
  <si>
    <t>Поливинилацетатная краска</t>
  </si>
  <si>
    <t>СТ 10 13 35 50</t>
  </si>
  <si>
    <t>Алкидная масляная краска</t>
  </si>
  <si>
    <t>СТ 10 13 35 55</t>
  </si>
  <si>
    <t>Алкидная эмалевая краска</t>
  </si>
  <si>
    <t>СТ 10 13 35 60</t>
  </si>
  <si>
    <t>Казеиновая краска</t>
  </si>
  <si>
    <t>СТ 10 13 35 65</t>
  </si>
  <si>
    <t>Декстринированная краска</t>
  </si>
  <si>
    <t>СТ 10 13 35 70</t>
  </si>
  <si>
    <t>Клеевая краска</t>
  </si>
  <si>
    <t>СТ 10 13 40</t>
  </si>
  <si>
    <t>Обои</t>
  </si>
  <si>
    <t>СТ 10 13 40 10</t>
  </si>
  <si>
    <t>Флизелиновые</t>
  </si>
  <si>
    <t>СТ 10 13 40 20</t>
  </si>
  <si>
    <t>Акриловые</t>
  </si>
  <si>
    <t>СТ 10 13 40 30</t>
  </si>
  <si>
    <t>Текстильные</t>
  </si>
  <si>
    <t>СТ 10 13 40 40</t>
  </si>
  <si>
    <t>Иризированное стекло</t>
  </si>
  <si>
    <t>СТ 10 13 40 50</t>
  </si>
  <si>
    <t>Бумажные</t>
  </si>
  <si>
    <t>СТ 10 13 40 60</t>
  </si>
  <si>
    <t>Натуральные</t>
  </si>
  <si>
    <t>СТ 10 13 40 70</t>
  </si>
  <si>
    <t>Виниловые</t>
  </si>
  <si>
    <t>СТ 10 13 45</t>
  </si>
  <si>
    <t>Облицовочные материалы внутренних стен</t>
  </si>
  <si>
    <t>СТ 10 13 45 10</t>
  </si>
  <si>
    <t>Панели стеновые МДФ</t>
  </si>
  <si>
    <t>16.21.14.000</t>
  </si>
  <si>
    <t>СТ 10 13 45 12</t>
  </si>
  <si>
    <t>Панели стеновые ДВП</t>
  </si>
  <si>
    <t>СТ 10 13 45 14</t>
  </si>
  <si>
    <t>Панели стеновые ДСП</t>
  </si>
  <si>
    <t>16.21.13.000</t>
  </si>
  <si>
    <t>СТ 10 13 45 16</t>
  </si>
  <si>
    <t>Панели стеновые ПВХ</t>
  </si>
  <si>
    <t>СТ 10 13 45 18</t>
  </si>
  <si>
    <t>Панели стеновые стеклянные</t>
  </si>
  <si>
    <t>23.19.12.150</t>
  </si>
  <si>
    <t>СТ 10 13 45 20</t>
  </si>
  <si>
    <t>Панели стеновые из каменного шпона</t>
  </si>
  <si>
    <t>СТ 10 13 45 22</t>
  </si>
  <si>
    <t>Панели стеновые деревянные, дуб</t>
  </si>
  <si>
    <t>СТ 10 13 45 24</t>
  </si>
  <si>
    <t>Панели стеновые деревянные, клен</t>
  </si>
  <si>
    <t>СТ 10 13 45 26</t>
  </si>
  <si>
    <t>Панели стеновые деревянные, кедр</t>
  </si>
  <si>
    <t>СТ 10 13 45 28</t>
  </si>
  <si>
    <t>Панели стеновые деревянные, ольха</t>
  </si>
  <si>
    <t>СТ 10 13 45 30</t>
  </si>
  <si>
    <t>Панели стеновые деревянные, бамбук</t>
  </si>
  <si>
    <t>СТ 10 13 45 32</t>
  </si>
  <si>
    <t>Панели стеновые пробковые</t>
  </si>
  <si>
    <t>СТ 10 13 45 34</t>
  </si>
  <si>
    <t>Панели деревянные фанерованные</t>
  </si>
  <si>
    <t>16.21.12.120</t>
  </si>
  <si>
    <t>СТ 10 13 45 36</t>
  </si>
  <si>
    <t>Панели деревянные фанерованные из бамбука</t>
  </si>
  <si>
    <t>16.21.11.120</t>
  </si>
  <si>
    <t>СТ 10 13 45 38</t>
  </si>
  <si>
    <t>Керамическая плитка</t>
  </si>
  <si>
    <t>23.31.10.121</t>
  </si>
  <si>
    <t>СТ 10 13 45 40</t>
  </si>
  <si>
    <t>Стеклянная плитка</t>
  </si>
  <si>
    <t>СТ 10 13 45 42</t>
  </si>
  <si>
    <t>Поливинилхлоридная плитка</t>
  </si>
  <si>
    <t>СТ 10 13 45 44</t>
  </si>
  <si>
    <t>Полистирольная плитка</t>
  </si>
  <si>
    <t>СТ 10 13 45 46</t>
  </si>
  <si>
    <t>Пластиковая плитка</t>
  </si>
  <si>
    <t>СТ 10 13 45 48</t>
  </si>
  <si>
    <t>Минеральная плитка</t>
  </si>
  <si>
    <t>СТ 10 13 45 50</t>
  </si>
  <si>
    <t>Плиты из природного камня</t>
  </si>
  <si>
    <t>СТ 10 13 50</t>
  </si>
  <si>
    <t>Отделка полов</t>
  </si>
  <si>
    <t>СТ 10 13 50 10</t>
  </si>
  <si>
    <t>Дощатое покрытие (окрашенное)</t>
  </si>
  <si>
    <t>СТ 10 13 50 12</t>
  </si>
  <si>
    <t>Ковролин</t>
  </si>
  <si>
    <t>13.93.19.120</t>
  </si>
  <si>
    <t>СТ 10 13 50 13</t>
  </si>
  <si>
    <t>Ламинат</t>
  </si>
  <si>
    <t>22.23.11.000</t>
  </si>
  <si>
    <t>СТ 10 13 50 14</t>
  </si>
  <si>
    <t>Ламинированный паркет</t>
  </si>
  <si>
    <t>СТ 10 13 50 15</t>
  </si>
  <si>
    <t>Линолеум</t>
  </si>
  <si>
    <t>СТ 10 13 50 15 10</t>
  </si>
  <si>
    <t>Линолеум алкидный</t>
  </si>
  <si>
    <t>СТ 10 13 50 15 20</t>
  </si>
  <si>
    <t>Линолеум натуральный</t>
  </si>
  <si>
    <t>СТ 10 13 50 15 30</t>
  </si>
  <si>
    <t>Линолеум ПВХ</t>
  </si>
  <si>
    <t>СТ 10 13 50 15 40</t>
  </si>
  <si>
    <t>Линолеум резиновый (релин)</t>
  </si>
  <si>
    <t>СТ 10 13 50 16</t>
  </si>
  <si>
    <t>Мраморные плиты</t>
  </si>
  <si>
    <t>СТ 10 13 50 17</t>
  </si>
  <si>
    <t>Паркет</t>
  </si>
  <si>
    <t>16.22.10.000</t>
  </si>
  <si>
    <t>СТ 10 13 50 17 10</t>
  </si>
  <si>
    <t>Паркетные доски и щиты</t>
  </si>
  <si>
    <t>СТ 10 13 50 17 20</t>
  </si>
  <si>
    <t>Штучный и наборный паркет</t>
  </si>
  <si>
    <t>СТ 10 13 50 18</t>
  </si>
  <si>
    <t>Плитка кафельная</t>
  </si>
  <si>
    <t>СТ 10 13 50 19</t>
  </si>
  <si>
    <t>Плитка керамическая</t>
  </si>
  <si>
    <t>23.31.10.122</t>
  </si>
  <si>
    <t>СТ 10 13 50 20</t>
  </si>
  <si>
    <t>Плитка керамогранитная</t>
  </si>
  <si>
    <t>СТ 10 13 50 21</t>
  </si>
  <si>
    <t>Плиты природного камня</t>
  </si>
  <si>
    <t>СТ 10 13 50 22</t>
  </si>
  <si>
    <t>Пол из шпона пробкового дерева</t>
  </si>
  <si>
    <t>СТ 10 13 50 23</t>
  </si>
  <si>
    <t>Пол из пробкового агломерата</t>
  </si>
  <si>
    <t>СТ 10 13 50 24</t>
  </si>
  <si>
    <t>Пол мозаично-бетонный шлифованный</t>
  </si>
  <si>
    <t>СТ 10 13 50 25</t>
  </si>
  <si>
    <t>Пол цементно-бетонный шлифованный</t>
  </si>
  <si>
    <t>СТ 10 13 50 26</t>
  </si>
  <si>
    <t>Пол латексноцементно-бетонный</t>
  </si>
  <si>
    <t>СТ 10 13 50 27</t>
  </si>
  <si>
    <t>Пол поливинилацетатцементно-бетонный</t>
  </si>
  <si>
    <t>СТ 10 13 50 28</t>
  </si>
  <si>
    <t>Покрытие полименое наливное</t>
  </si>
  <si>
    <t>СТ 10 13 50 40</t>
  </si>
  <si>
    <t>Стяжка цементно-песчанная</t>
  </si>
  <si>
    <t>СТ 10 13 50 50</t>
  </si>
  <si>
    <t>Щиты деревянные однослойные</t>
  </si>
  <si>
    <t>СТ 10 13 50 50 10</t>
  </si>
  <si>
    <t>Щиты деревянные однослойные, береза</t>
  </si>
  <si>
    <t>СТ 10 13 50 50 20</t>
  </si>
  <si>
    <t>Щиты деревянные однослойные, сосна</t>
  </si>
  <si>
    <t>СТ 10 13 50 50 30</t>
  </si>
  <si>
    <t>Щиты деревянные однослойные, осина</t>
  </si>
  <si>
    <t>СТ 10 13 50 50 40</t>
  </si>
  <si>
    <t>Щиты деревянные однослойные, лиственница</t>
  </si>
  <si>
    <t>СТ 10 13 55</t>
  </si>
  <si>
    <t>Отделка потолков</t>
  </si>
  <si>
    <t>СТ 10 13 55 01</t>
  </si>
  <si>
    <t>Побелка известковая</t>
  </si>
  <si>
    <t>СТ 10 13 55 02</t>
  </si>
  <si>
    <t>Побелка меловая</t>
  </si>
  <si>
    <t>СТ 10 13 55 04</t>
  </si>
  <si>
    <t>СТ 10 13 55 05</t>
  </si>
  <si>
    <t>СТ 10 13 55 06</t>
  </si>
  <si>
    <t>Панели потолочные алюминиевые</t>
  </si>
  <si>
    <t>СТ 10 13 55 07</t>
  </si>
  <si>
    <t>Панели потолочные на минеральном волокне</t>
  </si>
  <si>
    <t>СТ 10 13 55 08</t>
  </si>
  <si>
    <t>Панели стекловолокнистые</t>
  </si>
  <si>
    <t>СТ 10 13 55 09</t>
  </si>
  <si>
    <t>Панели ПВХ</t>
  </si>
  <si>
    <t>СТ 10 13 55 10</t>
  </si>
  <si>
    <t>Панели МДФ</t>
  </si>
  <si>
    <t>СТ 10 13 55 12</t>
  </si>
  <si>
    <t>Панели стеклянные</t>
  </si>
  <si>
    <t>СТ 10 13 55 13</t>
  </si>
  <si>
    <t>Панели из пенополистерола</t>
  </si>
  <si>
    <t>СТ 10 13 55 14</t>
  </si>
  <si>
    <t>Панели ДВП</t>
  </si>
  <si>
    <t>СТ 10 14</t>
  </si>
  <si>
    <t>СТ 10 14 10</t>
  </si>
  <si>
    <t>Утеплители органические</t>
  </si>
  <si>
    <t>СТ 10 14 10 01</t>
  </si>
  <si>
    <t>Эковата</t>
  </si>
  <si>
    <t>СТ 10 14 10 02</t>
  </si>
  <si>
    <t>Плиты из пенопласта на основе полистирола</t>
  </si>
  <si>
    <t>СТ 10 14 10 03</t>
  </si>
  <si>
    <t>Плиты из пенопласта на основе полиуретана</t>
  </si>
  <si>
    <t>СТ 10 14 10 04</t>
  </si>
  <si>
    <t>Плиты из пенопласта на основе резольных фенолоформальдегидных смол</t>
  </si>
  <si>
    <t>СТ 10 14 10 05</t>
  </si>
  <si>
    <t>Плиты из перлитопластобетона</t>
  </si>
  <si>
    <t>СТ 10 14 10 06</t>
  </si>
  <si>
    <t>Цилиндры и полуцилиндры из пенопласта резопен</t>
  </si>
  <si>
    <t>СТ 10 14 10 07</t>
  </si>
  <si>
    <t>Цилиндры и полуцилиндры из пенопласта ФРП-1</t>
  </si>
  <si>
    <t>СТ 10 14 10 08</t>
  </si>
  <si>
    <t>Пенополивинилхлорид (ППВХ)</t>
  </si>
  <si>
    <t>СТ 10 14 10 09</t>
  </si>
  <si>
    <t>Арболитовый утеплитель</t>
  </si>
  <si>
    <t>СТ 10 14 10 10</t>
  </si>
  <si>
    <t>Вспененный полиэтилен</t>
  </si>
  <si>
    <t>СТ 10 14 10 12</t>
  </si>
  <si>
    <t>Фибролитовые плиты на портландцементе</t>
  </si>
  <si>
    <t>СТ 10 14 10 13</t>
  </si>
  <si>
    <t>Торфяные плиты</t>
  </si>
  <si>
    <t>СТ 10 14 10 14</t>
  </si>
  <si>
    <t>Сотопластовый утеплитель</t>
  </si>
  <si>
    <t>СТ 10 14 20</t>
  </si>
  <si>
    <t>Утеплители неорганические</t>
  </si>
  <si>
    <t>СТ 10 14 20 01</t>
  </si>
  <si>
    <t>Базальтовые маты</t>
  </si>
  <si>
    <t>СТ 10 14 20 02</t>
  </si>
  <si>
    <t>Блоки из пеностекла</t>
  </si>
  <si>
    <t>СТ 10 14 20 03</t>
  </si>
  <si>
    <t>Блоки из ячеистого бетона</t>
  </si>
  <si>
    <t>СТ 10 14 20 04</t>
  </si>
  <si>
    <t>Войлок из базальтовой ваты</t>
  </si>
  <si>
    <t>СТ 10 14 20 05</t>
  </si>
  <si>
    <t>Войлок из минеральной ваты</t>
  </si>
  <si>
    <t>СТ 10 14 20 06</t>
  </si>
  <si>
    <t>Войлок из стекловаты</t>
  </si>
  <si>
    <t>СТ 10 14 20 07</t>
  </si>
  <si>
    <t>Зернистые теплоизоляционные материалы</t>
  </si>
  <si>
    <t>СТ 10 14 20 07 01</t>
  </si>
  <si>
    <t>Асбестомагнезиальный порошок</t>
  </si>
  <si>
    <t>СТ 10 14 20 07 02</t>
  </si>
  <si>
    <t>Асбозурит</t>
  </si>
  <si>
    <t>СТ 10 14 20 07 03</t>
  </si>
  <si>
    <t>Вспученный вермикулит</t>
  </si>
  <si>
    <t>СТ 10 14 20 07 04</t>
  </si>
  <si>
    <t>Вспученный перлитовый песок</t>
  </si>
  <si>
    <t>СТ 10 14 20 07 05</t>
  </si>
  <si>
    <t>Диатомитовая обожженная крошка</t>
  </si>
  <si>
    <t>СТ 10 14 20 07 06</t>
  </si>
  <si>
    <t>Совелитовый порошок</t>
  </si>
  <si>
    <t>СТ 10 14 20 08</t>
  </si>
  <si>
    <t>Керамическая вата</t>
  </si>
  <si>
    <t>СТ 10 14 20 09</t>
  </si>
  <si>
    <t>Кирпич диатомитовый</t>
  </si>
  <si>
    <t>СТ 10 14 20 10</t>
  </si>
  <si>
    <t>Кирпич пенодиатомитовый</t>
  </si>
  <si>
    <t>СТ 10 14 20 12</t>
  </si>
  <si>
    <t>Маты из минеральной ваты</t>
  </si>
  <si>
    <t>СТ 10 14 20 13</t>
  </si>
  <si>
    <t>Маты из стеклянной ваты</t>
  </si>
  <si>
    <t>СТ 10 14 20 14</t>
  </si>
  <si>
    <t>Минераловатная плита</t>
  </si>
  <si>
    <t>СТ 10 14 20 15</t>
  </si>
  <si>
    <t>Минеральная вата</t>
  </si>
  <si>
    <t>СТ 10 14 20 16</t>
  </si>
  <si>
    <t>Минераловатная армированная самонесущая плита</t>
  </si>
  <si>
    <t>СТ 10 14 20 17</t>
  </si>
  <si>
    <t>Муллитокремнеземистые материалы</t>
  </si>
  <si>
    <t>СТ 10 14 20 17 01</t>
  </si>
  <si>
    <t>Муллитокремнеземистая вата</t>
  </si>
  <si>
    <t>СТ 10 14 20 17 02</t>
  </si>
  <si>
    <t>Муллитокремнеземистые плиты</t>
  </si>
  <si>
    <t>СТ 10 14 20 17 03</t>
  </si>
  <si>
    <t>Муллитокремнеземистые хромсодержащие плиты</t>
  </si>
  <si>
    <t>СТ 10 14 20 17 04</t>
  </si>
  <si>
    <t>Муллитокремнеземистый войлок</t>
  </si>
  <si>
    <t>СТ 10 14 20 17 05</t>
  </si>
  <si>
    <t>Муллитокремнеземистый рулонный материал</t>
  </si>
  <si>
    <t>СТ 10 14 20 17 06</t>
  </si>
  <si>
    <t>Муллитокремнеземистый фетр</t>
  </si>
  <si>
    <t>СТ 10 14 20 17 07</t>
  </si>
  <si>
    <t>Муллитокремнеземистый хромсодержащий войлок</t>
  </si>
  <si>
    <t>СТ 10 14 20 17 08</t>
  </si>
  <si>
    <t>Муллитокремнеземистый хромсодержащий рулонный материал</t>
  </si>
  <si>
    <t>СТ 10 14 20 18</t>
  </si>
  <si>
    <t>Плита из стеклянной и базальтовой ваты</t>
  </si>
  <si>
    <t>СТ 10 14 20 19</t>
  </si>
  <si>
    <t>Плиты асбестовермикулитовые</t>
  </si>
  <si>
    <t>СТ 10 14 20 20</t>
  </si>
  <si>
    <t>Плиты вулканитовые</t>
  </si>
  <si>
    <t>СТ 10 14 20 21</t>
  </si>
  <si>
    <t>Плиты диатомитовые</t>
  </si>
  <si>
    <t>СТ 10 14 20 22</t>
  </si>
  <si>
    <t>Плиты известково-кремнеземистые</t>
  </si>
  <si>
    <t>СТ 10 14 20 23</t>
  </si>
  <si>
    <t>Плиты перлитобитумные</t>
  </si>
  <si>
    <t>СТ 10 14 20 24</t>
  </si>
  <si>
    <t>Плиты перлитокерамические</t>
  </si>
  <si>
    <t>СТ 10 14 20 25</t>
  </si>
  <si>
    <t>Плиты перлитофосфогелевые</t>
  </si>
  <si>
    <t>СТ 10 14 20 26</t>
  </si>
  <si>
    <t>Плиты перлитоцементные</t>
  </si>
  <si>
    <t>СТ 10 14 20 27</t>
  </si>
  <si>
    <t>Плиты совелитовые</t>
  </si>
  <si>
    <t>СТ 10 14 20 28</t>
  </si>
  <si>
    <t>Полуцилиндры и сегменты совелитовые</t>
  </si>
  <si>
    <t>СТ 10 14 20 29</t>
  </si>
  <si>
    <t>Полуцилиндры и сегменты вулканитовые</t>
  </si>
  <si>
    <t>СТ 10 14 20 30</t>
  </si>
  <si>
    <t>Полуцилиндры и сегменты перлитоцементные</t>
  </si>
  <si>
    <t>СТ 10 14 20 31</t>
  </si>
  <si>
    <t>Полуцилиндры и сегменты перлитофосфогелевые</t>
  </si>
  <si>
    <t>СТ 10 14 20 32</t>
  </si>
  <si>
    <t>Полуцилиндры и сегменты асбестовермикулитовые</t>
  </si>
  <si>
    <t>СТ 10 14 20 33</t>
  </si>
  <si>
    <t>Полуцилиндры и сегменты известково- кремнеземистые</t>
  </si>
  <si>
    <t>СТ 10 14 20 34</t>
  </si>
  <si>
    <t>Стекловата</t>
  </si>
  <si>
    <t>СТ 10 14 30</t>
  </si>
  <si>
    <t>Утеплители смешанные</t>
  </si>
  <si>
    <t>СТ 10 15</t>
  </si>
  <si>
    <t>Гидроизоляционные материалы</t>
  </si>
  <si>
    <t>СТ 10 15 10</t>
  </si>
  <si>
    <t>Мастика</t>
  </si>
  <si>
    <t>СТ 10 15 20</t>
  </si>
  <si>
    <t>Рулонный материал</t>
  </si>
  <si>
    <t>СТ 10 15 20 10</t>
  </si>
  <si>
    <t>Рубероид</t>
  </si>
  <si>
    <t>СТ 10 15 20 20</t>
  </si>
  <si>
    <t>Стеклорубероид</t>
  </si>
  <si>
    <t>СТ 10 15 20 30</t>
  </si>
  <si>
    <t>Пергамин</t>
  </si>
  <si>
    <t>СТ 10 15 20 40</t>
  </si>
  <si>
    <t>Толь</t>
  </si>
  <si>
    <t>СТ 10 15 20 50</t>
  </si>
  <si>
    <t>Гидроизол</t>
  </si>
  <si>
    <t>СТ 10 15 20 60</t>
  </si>
  <si>
    <t>Бризол</t>
  </si>
  <si>
    <t>СТ 10 15 20 70</t>
  </si>
  <si>
    <t>Гидробутил</t>
  </si>
  <si>
    <t>СТ 10 15 30</t>
  </si>
  <si>
    <t>СТ 10 15 40</t>
  </si>
  <si>
    <t>Пленка</t>
  </si>
  <si>
    <t>СТ 10 15 40 10</t>
  </si>
  <si>
    <t>Полиэтиленовая пленка</t>
  </si>
  <si>
    <t>СТ 10 15 40 20</t>
  </si>
  <si>
    <t>Полипропиленовая пленка</t>
  </si>
  <si>
    <t>СТ 10 15 40 30</t>
  </si>
  <si>
    <t>Гидроизоляционная мембрана</t>
  </si>
  <si>
    <t>СТ 10 15 50</t>
  </si>
  <si>
    <t>Окрасочная гидроизоляция</t>
  </si>
  <si>
    <t>СТ 10 15 50 10</t>
  </si>
  <si>
    <t>Битумная смесь</t>
  </si>
  <si>
    <t>СТ 10 15 50 20</t>
  </si>
  <si>
    <t>Каучуковый гель</t>
  </si>
  <si>
    <t>СТ 10 15 50 30</t>
  </si>
  <si>
    <t>Силиконовый гель</t>
  </si>
  <si>
    <t>СТ 10 15 50 40</t>
  </si>
  <si>
    <t>Акриловая взвесь</t>
  </si>
  <si>
    <t>СТ 10 15 50 50</t>
  </si>
  <si>
    <t>Эпоксидные составы</t>
  </si>
  <si>
    <t>СТ 10 15 50 60</t>
  </si>
  <si>
    <t>Гидроизоляционный лак</t>
  </si>
  <si>
    <t>СТ 10 15 60</t>
  </si>
  <si>
    <t>Жидкая гидроизоляция</t>
  </si>
  <si>
    <t>СТ 10 15 60 10</t>
  </si>
  <si>
    <t>Жидкое стекло</t>
  </si>
  <si>
    <t>СТ 10 15 60 20</t>
  </si>
  <si>
    <t>Жидкая резина</t>
  </si>
  <si>
    <t>СТ 10 15 70</t>
  </si>
  <si>
    <t>Проникающая гидроизоляция</t>
  </si>
  <si>
    <t>СТ 10 15 70 10</t>
  </si>
  <si>
    <t>Песчано-цементный состав</t>
  </si>
  <si>
    <t>СТ 10 15 70 20</t>
  </si>
  <si>
    <t>Пенетрон</t>
  </si>
  <si>
    <t>СТ 10 15 80</t>
  </si>
  <si>
    <t>Монтируемая гидроизоляция</t>
  </si>
  <si>
    <t>СТ 10 15 80 10</t>
  </si>
  <si>
    <t>Бентонитовые маты</t>
  </si>
  <si>
    <t>СТ 10 16</t>
  </si>
  <si>
    <t>Материалы труб</t>
  </si>
  <si>
    <t>СТ 10 16 05</t>
  </si>
  <si>
    <t>Асбестоцемент</t>
  </si>
  <si>
    <t>СТ 10 16 10</t>
  </si>
  <si>
    <t>СТ 10 16 15</t>
  </si>
  <si>
    <t>СТ 10 16 20</t>
  </si>
  <si>
    <t>СТ 10 16 25</t>
  </si>
  <si>
    <t>Хризотилцемент</t>
  </si>
  <si>
    <t>СТ 10 16 30</t>
  </si>
  <si>
    <t>СТ 10 16 31</t>
  </si>
  <si>
    <t>Сталь оцинкованная</t>
  </si>
  <si>
    <t>СТ 10 16 35</t>
  </si>
  <si>
    <t>Нержавеющая сталь</t>
  </si>
  <si>
    <t>СТ 10 16 40</t>
  </si>
  <si>
    <t>СТ 10 16 45</t>
  </si>
  <si>
    <t>Композитные материалы</t>
  </si>
  <si>
    <t>СТ 10 16 45 10</t>
  </si>
  <si>
    <t>Труба стеклобазальтокомпозитная</t>
  </si>
  <si>
    <t>СТ 10 16 45 20</t>
  </si>
  <si>
    <t>Труба стеклокомпозитная</t>
  </si>
  <si>
    <t>СТ 10 16 45 30</t>
  </si>
  <si>
    <t>Труба базальтокомпозитная</t>
  </si>
  <si>
    <t>СТ 10 16 50</t>
  </si>
  <si>
    <t>Полимерные</t>
  </si>
  <si>
    <t>СТ 10 16 50 10</t>
  </si>
  <si>
    <t>Полиэтилен (PE)</t>
  </si>
  <si>
    <t>СТ 10 16 50 10 10</t>
  </si>
  <si>
    <t>Полиэтилен (PEX)</t>
  </si>
  <si>
    <t>СТ 10 16 50 20</t>
  </si>
  <si>
    <t>Поливинилхлорид (PVC)</t>
  </si>
  <si>
    <t>СТ 10 16 50 30</t>
  </si>
  <si>
    <t>Полипропилен (PP)</t>
  </si>
  <si>
    <t>СТ 10 16 50 40</t>
  </si>
  <si>
    <t>Полиамид (ПА)</t>
  </si>
  <si>
    <t>СТ 10 16 50 50</t>
  </si>
  <si>
    <t>Полибутилен (PB)</t>
  </si>
  <si>
    <t>СТ 10 16 55</t>
  </si>
  <si>
    <t>Металлопластик</t>
  </si>
  <si>
    <t>СТ 10 16 60</t>
  </si>
  <si>
    <t>Подводка гибкая из вулканизированной резины, пластмассы, стали</t>
  </si>
  <si>
    <t>СТ 10 16 60 10</t>
  </si>
  <si>
    <t>Водоснабжение</t>
  </si>
  <si>
    <t>СТ 10 16 60 10 01</t>
  </si>
  <si>
    <t>Гибкая подводка с оплеткой из нержавеющей стали для воды</t>
  </si>
  <si>
    <t>СТ 10 16 60 10 02</t>
  </si>
  <si>
    <t>Сильфонная подводка с оплеткой из нержавеющей стали для воды</t>
  </si>
  <si>
    <t>СТ 10 16 60 20</t>
  </si>
  <si>
    <t>Газоснабжение</t>
  </si>
  <si>
    <t>СТ 10 16 60 20 01</t>
  </si>
  <si>
    <t>Шланг (рукав) армированный газовый (ПВХ)</t>
  </si>
  <si>
    <t>СТ 10 16 60 20 02</t>
  </si>
  <si>
    <t>Сильфонная подводка из нержавеющей стали для газа</t>
  </si>
  <si>
    <t>СТ 10 17</t>
  </si>
  <si>
    <t>Материалы воздуховодов</t>
  </si>
  <si>
    <t>СТ 10 17 10</t>
  </si>
  <si>
    <t>Сталь листовая</t>
  </si>
  <si>
    <t>СТ 10 17 10 10</t>
  </si>
  <si>
    <t>Сталь тонколистовая холоднокатанная</t>
  </si>
  <si>
    <t>СТ 10 17 10 20</t>
  </si>
  <si>
    <t>Сталь тонколистовая горячекатанная</t>
  </si>
  <si>
    <t>СТ 10 17 10 30</t>
  </si>
  <si>
    <t>Сталь тонколистовая оцинкованная холоднокатанная</t>
  </si>
  <si>
    <t>СТ 10 17 10 40</t>
  </si>
  <si>
    <t>Сталь тонколистовая оцинкованная горячекатанная</t>
  </si>
  <si>
    <t>СТ 10 17 10 50</t>
  </si>
  <si>
    <t>Сталь тонколистовая нержавеющая</t>
  </si>
  <si>
    <t>СТ 10 17 20</t>
  </si>
  <si>
    <t>СТ 10 17 20 20</t>
  </si>
  <si>
    <t>Алюминиевые сплавы</t>
  </si>
  <si>
    <t>СТ 10 17 20 30</t>
  </si>
  <si>
    <t>Гофра алюминиевая</t>
  </si>
  <si>
    <t>СТ 10 17 30</t>
  </si>
  <si>
    <t>Титан</t>
  </si>
  <si>
    <t>СТ 10 17 40</t>
  </si>
  <si>
    <t>Пластик</t>
  </si>
  <si>
    <t>СТ 10 17 40 10</t>
  </si>
  <si>
    <t>Полипропилен</t>
  </si>
  <si>
    <t>СТ 10 17 40 20</t>
  </si>
  <si>
    <t>Поливинилхлорид (ПВХ)</t>
  </si>
  <si>
    <t>СТ 10 17 40 30</t>
  </si>
  <si>
    <t>Полиэтилен</t>
  </si>
  <si>
    <t>СТ 10 17 40 40</t>
  </si>
  <si>
    <t>Полиуретан</t>
  </si>
  <si>
    <t>СТ 10 18</t>
  </si>
  <si>
    <t>Материалы радиаторов</t>
  </si>
  <si>
    <t>СТ 10 18 10</t>
  </si>
  <si>
    <t>СТ 10 18 20</t>
  </si>
  <si>
    <t>СТ 10 18 30</t>
  </si>
  <si>
    <t>СТ 10 18 40</t>
  </si>
  <si>
    <t>Биметаллический</t>
  </si>
  <si>
    <t>СТ 10 19</t>
  </si>
  <si>
    <t>Материалы строительной арматуры</t>
  </si>
  <si>
    <t>СТ 10 19 10</t>
  </si>
  <si>
    <t>СТ 10 19 20</t>
  </si>
  <si>
    <t>Композитная</t>
  </si>
  <si>
    <t>СТ 10 19 20 10</t>
  </si>
  <si>
    <t>Стеклопластиковая (АСП)</t>
  </si>
  <si>
    <t>СТ 10 19 20 20</t>
  </si>
  <si>
    <t>Базальтопластиковая (АБП)</t>
  </si>
  <si>
    <t>СТ 10 19 20 30</t>
  </si>
  <si>
    <t>Углепластиковая</t>
  </si>
  <si>
    <t>СТ 10 20</t>
  </si>
  <si>
    <t>Доска электротехническая</t>
  </si>
  <si>
    <t>СТ 10 20 10</t>
  </si>
  <si>
    <t>Доска асбестоцементная дугостойкая (АЦЭИД)</t>
  </si>
  <si>
    <t>СТ 20</t>
  </si>
  <si>
    <t>Строительные изделия</t>
  </si>
  <si>
    <t>СТ 20 05</t>
  </si>
  <si>
    <t>Погонажные изделия</t>
  </si>
  <si>
    <t>СТ 20 05 01</t>
  </si>
  <si>
    <t>Металлопрокат</t>
  </si>
  <si>
    <t>СТ 20 05 01 01</t>
  </si>
  <si>
    <t>Прокат листовой</t>
  </si>
  <si>
    <t>СТ 20 05 01 02</t>
  </si>
  <si>
    <t>Прокат широкополосный</t>
  </si>
  <si>
    <t>СТ 20 05 01 03</t>
  </si>
  <si>
    <t>Прокат сортовой</t>
  </si>
  <si>
    <t>СТ 20 05 01 03 01</t>
  </si>
  <si>
    <t>Прокат квадратный</t>
  </si>
  <si>
    <t>СТ 20 05 01 03 02</t>
  </si>
  <si>
    <t>Прокат круглый</t>
  </si>
  <si>
    <t>СТ 20 05 01 03 03</t>
  </si>
  <si>
    <t>Прокат шестигранный</t>
  </si>
  <si>
    <t>СТ 20 05 01 03 04</t>
  </si>
  <si>
    <t>Прокат полосовой</t>
  </si>
  <si>
    <t>СТ 20 05 01 04</t>
  </si>
  <si>
    <t>Прокат фасонный</t>
  </si>
  <si>
    <t>СТ 20 05 01 04 01</t>
  </si>
  <si>
    <t>Уголок равнополочный</t>
  </si>
  <si>
    <t>СТ 20 05 01 04 02</t>
  </si>
  <si>
    <t>Уголок неравнополочный</t>
  </si>
  <si>
    <t>СТ 20 05 01 04 03</t>
  </si>
  <si>
    <t>Двутавр</t>
  </si>
  <si>
    <t>СТ 20 05 01 04 04</t>
  </si>
  <si>
    <t>Швеллер</t>
  </si>
  <si>
    <t>СТ 20 05 01 05</t>
  </si>
  <si>
    <t>Профиль гнутый</t>
  </si>
  <si>
    <t>СТ 20 05 01 05 01</t>
  </si>
  <si>
    <t>Уголок гнутый равнополочный</t>
  </si>
  <si>
    <t>СТ 20 05 01 05 02</t>
  </si>
  <si>
    <t>Уголок гнутый неравнополочный</t>
  </si>
  <si>
    <t>СТ 20 05 01 05 03</t>
  </si>
  <si>
    <t>Швеллер гнутый</t>
  </si>
  <si>
    <t>СТ 20 05 01 05 04</t>
  </si>
  <si>
    <t>Труба квадратная</t>
  </si>
  <si>
    <t>СТ 20 05 01 05 05</t>
  </si>
  <si>
    <t>Труба прямоугольная</t>
  </si>
  <si>
    <t>СТ 20 05 01 05 06</t>
  </si>
  <si>
    <t>СТ 20 05 01 05 07</t>
  </si>
  <si>
    <t>Профиль корытный</t>
  </si>
  <si>
    <t>СТ 20 05 01 05 08</t>
  </si>
  <si>
    <t>Профиль зетовый</t>
  </si>
  <si>
    <t>СТ 20 05 02</t>
  </si>
  <si>
    <t>Арматурный прокат</t>
  </si>
  <si>
    <t>СТ 20 05 02 01</t>
  </si>
  <si>
    <t>Арматура гладкая</t>
  </si>
  <si>
    <t>СТ 20 05 02 02</t>
  </si>
  <si>
    <t>Арматура периодического профиля</t>
  </si>
  <si>
    <t>СТ 20 10</t>
  </si>
  <si>
    <t>Панель наружная стеновая</t>
  </si>
  <si>
    <t>СТ 20 10 10</t>
  </si>
  <si>
    <t>Панель стеновая наружная бетонная и железобетонная ГОСТ 11024-2012</t>
  </si>
  <si>
    <t>СТ 20 10 10 10</t>
  </si>
  <si>
    <t>Панель стеновая наружная бетонная и железобетонная ГОСТ 11024-2013</t>
  </si>
  <si>
    <t>Для надземных этажей</t>
  </si>
  <si>
    <t>СТ 20 10 10 10 10</t>
  </si>
  <si>
    <t>Панель стеновая наружная бетонная и железобетонная ГОСТ 11024-2014</t>
  </si>
  <si>
    <t>Двухслойная наружная вертикальной полосовой разрезки панель 2НВ</t>
  </si>
  <si>
    <t>СТ 20 10 10 10 20</t>
  </si>
  <si>
    <t>Панель стеновая наружная бетонная и железобетонная ГОСТ 11024-2015</t>
  </si>
  <si>
    <t>Однослойная наружная стеновая несущая панель (однорядной разрезки) 1НСН</t>
  </si>
  <si>
    <t>СТ 20 10 10 10 30</t>
  </si>
  <si>
    <t>Панель стеновая наружная бетонная и железобетонная ГОСТ 11024-2016</t>
  </si>
  <si>
    <t>Двухслойная наружная стеновая несущая панель (однорядной разрезки) 2НСН</t>
  </si>
  <si>
    <t>СТ 20 10 10 10 40</t>
  </si>
  <si>
    <t>Панель стеновая наружная бетонная и железобетонная ГОСТ 11024-2017</t>
  </si>
  <si>
    <t>Однослойная наружная стеновая ненесущая панель (однорядной разрезки) 1НС</t>
  </si>
  <si>
    <t>СТ 20 10 10 10 50</t>
  </si>
  <si>
    <t>Панель стеновая наружная бетонная и железобетонная ГОСТ 11024-2018</t>
  </si>
  <si>
    <t>Двухслойная наружная стеновая ненесущая панель (однорядной разрезки) 2НС</t>
  </si>
  <si>
    <t>СТ 20 10 10 10 60</t>
  </si>
  <si>
    <t>Панель стеновая наружная бетонная и железобетонная ГОСТ 11024-2019</t>
  </si>
  <si>
    <t>Однослойная наружная горизонтальной полосовой разрезки панель 1НГ</t>
  </si>
  <si>
    <t>СТ 20 10 10 10 70</t>
  </si>
  <si>
    <t>Панель стеновая наружная бетонная и железобетонная ГОСТ 11024-2020</t>
  </si>
  <si>
    <t>Двухслойная наружная горизонтальной полосовой разрезки панель 2НГ</t>
  </si>
  <si>
    <t>СТ 20 10 10 10 80</t>
  </si>
  <si>
    <t>Панель стеновая наружная бетонная и железобетонная ГОСТ 11024-2021</t>
  </si>
  <si>
    <t>Однослойная наружная вертикальной полосовой разрезки панель 1НВ</t>
  </si>
  <si>
    <t>СТ 20 10 10 20</t>
  </si>
  <si>
    <t>Панель стеновая наружная бетонная и железобетонная ГОСТ 11024-2022</t>
  </si>
  <si>
    <t>Для цокольного этажа или технического подполья</t>
  </si>
  <si>
    <t>СТ 20 10 10 20 10</t>
  </si>
  <si>
    <t>Панель стеновая наружная бетонная и железобетонная ГОСТ 11024-2023</t>
  </si>
  <si>
    <t>Двухслойная наружная цокольная ненесущая панель (однорядной разрезки) 2НЦ</t>
  </si>
  <si>
    <t>СТ 20 10 10 20 20</t>
  </si>
  <si>
    <t>Панель стеновая наружная бетонная и железобетонная ГОСТ 11024-2024</t>
  </si>
  <si>
    <t>Однослойная наружная цокольная несущая панель (однорядной разрезки) 1НЦН</t>
  </si>
  <si>
    <t>СТ 20 10 10 20 30</t>
  </si>
  <si>
    <t>Панель стеновая наружная бетонная и железобетонная ГОСТ 11024-2025</t>
  </si>
  <si>
    <t>Двухслойная наружная цокольная несущая панель (однорядной разрезки) 2НЦН</t>
  </si>
  <si>
    <t>СТ 20 10 10 20 40</t>
  </si>
  <si>
    <t>Панель стеновая наружная бетонная и железобетонная ГОСТ 11024-2026</t>
  </si>
  <si>
    <t>Однослойная наружная цокольная ненесущая панель (однорядной разрезки) 1НЦ</t>
  </si>
  <si>
    <t>СТ 20 10 10 30</t>
  </si>
  <si>
    <t>Панель стеновая наружная бетонная и железобетонная ГОСТ 11024-2027</t>
  </si>
  <si>
    <t>Для чердака</t>
  </si>
  <si>
    <t>СТ 20 10 10 30 10</t>
  </si>
  <si>
    <t>Панель стеновая наружная бетонная и железобетонная ГОСТ 11024-2028</t>
  </si>
  <si>
    <t>Двухслойная наружная чердачная - вертикальной полосовой разрезки панель 2НЧВ</t>
  </si>
  <si>
    <t>СТ 20 10 10 30 20</t>
  </si>
  <si>
    <t>Панель стеновая наружная бетонная и железобетонная ГОСТ 11024-2029</t>
  </si>
  <si>
    <t>Однослойная наружная чердачная несущая панель (однорядной разрезки) 1НЧН</t>
  </si>
  <si>
    <t>СТ 20 10 10 30 30</t>
  </si>
  <si>
    <t>Панель стеновая наружная бетонная и железобетонная ГОСТ 11024-2030</t>
  </si>
  <si>
    <t>Двухслойная наружная чердачная несущая панель (однорядной разрезки) 2НЧН</t>
  </si>
  <si>
    <t>СТ 20 10 10 30 40</t>
  </si>
  <si>
    <t>Панель стеновая наружная бетонная и железобетонная ГОСТ 11024-2031</t>
  </si>
  <si>
    <t>Однослойная наружная чердачная ненесущая панель (однорядной разрезки) 1НЧ</t>
  </si>
  <si>
    <t>СТ 20 10 10 30 50</t>
  </si>
  <si>
    <t>Панель стеновая наружная бетонная и железобетонная ГОСТ 11024-2032</t>
  </si>
  <si>
    <t>Двухслойная наружная чердачная ненесущая панель (однорядной разрезки) 2НЧ</t>
  </si>
  <si>
    <t>СТ 20 10 10 30 60</t>
  </si>
  <si>
    <t>Панель стеновая наружная бетонная и железобетонная ГОСТ 11024-2033</t>
  </si>
  <si>
    <t>Однослойная наружная чердачная горизонтальной полосовой разрезки панель 1НЧГ</t>
  </si>
  <si>
    <t>СТ 20 10 10 30 70</t>
  </si>
  <si>
    <t>Панель стеновая наружная бетонная и железобетонная ГОСТ 11024-2034</t>
  </si>
  <si>
    <t>Двухслойная наружная чердачная горизонтальной полосовой разрезки панель 2НЧГ</t>
  </si>
  <si>
    <t>СТ 20 10 10 30 80</t>
  </si>
  <si>
    <t>Панель стеновая наружная бетонная и железобетонная ГОСТ 11024-2035</t>
  </si>
  <si>
    <t>Однослойная наружная чердачная вертикальной полосовой разрезки панель 1НЧВ</t>
  </si>
  <si>
    <t>СТ 20 10 20</t>
  </si>
  <si>
    <t>Панель асбестоцементная</t>
  </si>
  <si>
    <t>СТ 20 10 20 10</t>
  </si>
  <si>
    <t>Панель асбестоцементная на деревянном каркасе (1ПНСА)</t>
  </si>
  <si>
    <t>СТ 20 10 20 20</t>
  </si>
  <si>
    <t>Панель асбестоцементная на деревянном каркасе (2ПНСА)</t>
  </si>
  <si>
    <t>СТ 20 20</t>
  </si>
  <si>
    <t>Плиты перекрытий железобетонные многопустотные</t>
  </si>
  <si>
    <t>СТ 20 20 10</t>
  </si>
  <si>
    <t>Плита перекрытия железобетонная многопустотная ГОСТ 32499-2013</t>
  </si>
  <si>
    <t>СТ 20 20 10 10</t>
  </si>
  <si>
    <t>Плита перекрытия железобетонная многопустотная ГОСТ 32499-2014</t>
  </si>
  <si>
    <t>Плита железобетонная армированная без предварительного напряжения</t>
  </si>
  <si>
    <t>СТ 20 20 10 20</t>
  </si>
  <si>
    <t>Плита перекрытия железобетонная многопустотная ГОСТ 32499-2015</t>
  </si>
  <si>
    <t>Плита железобетонная армированная преднапряженная</t>
  </si>
  <si>
    <t>СТ 20 21</t>
  </si>
  <si>
    <t>Материалы для благоустройства территории</t>
  </si>
  <si>
    <t>СТ 20 21 10</t>
  </si>
  <si>
    <t>Покрытия из бетона и на его основе</t>
  </si>
  <si>
    <t>СТ 20 21 10 01</t>
  </si>
  <si>
    <t>Асфальтобетонное покртытие</t>
  </si>
  <si>
    <t>СТ 20 21 10 02</t>
  </si>
  <si>
    <t>Бетонное покрытие</t>
  </si>
  <si>
    <t>СТ 20 21 10 03</t>
  </si>
  <si>
    <t>Бетонная плита</t>
  </si>
  <si>
    <t>СТ 20 21 20</t>
  </si>
  <si>
    <t>Покрытия из камня и плитки</t>
  </si>
  <si>
    <t>СТ 20 21 20 01</t>
  </si>
  <si>
    <t>Брусчатка</t>
  </si>
  <si>
    <t>СТ 20 21 20 02</t>
  </si>
  <si>
    <t>Плитка с возможностью проезда спецтехники</t>
  </si>
  <si>
    <t>СТ 20 21 20 03</t>
  </si>
  <si>
    <t>Тротуарная плитка</t>
  </si>
  <si>
    <t>СТ 20 21 20 04</t>
  </si>
  <si>
    <t>Тротуарная плитка с тактильной поверхностью</t>
  </si>
  <si>
    <t>СТ 20 21 30</t>
  </si>
  <si>
    <t>Покрытия из искуственных материалов</t>
  </si>
  <si>
    <t>СТ 20 21 30 01</t>
  </si>
  <si>
    <t>Покрытие из резиновой крошки</t>
  </si>
  <si>
    <t>СТ 20 21 30 02</t>
  </si>
  <si>
    <t>СТ 20 21 40</t>
  </si>
  <si>
    <t>Покрытия сыпучие и набивные</t>
  </si>
  <si>
    <t>СТ 20 21 40 01</t>
  </si>
  <si>
    <t>Неорганические сыпучие материалы</t>
  </si>
  <si>
    <t>СТ 20 21 40 01 01</t>
  </si>
  <si>
    <t>Покрытие щебеночное</t>
  </si>
  <si>
    <t>СТ 20 21 40 01 02</t>
  </si>
  <si>
    <t>Покрытие гравийное</t>
  </si>
  <si>
    <t>СТ 20 21 40 01 03</t>
  </si>
  <si>
    <t>Покрытие бутовое</t>
  </si>
  <si>
    <t>СТ 20 21 40 01 04</t>
  </si>
  <si>
    <t>Покрытие керамзитное</t>
  </si>
  <si>
    <t>СТ 20 21 40 01 05</t>
  </si>
  <si>
    <t>Покрытие гранитное</t>
  </si>
  <si>
    <t>СТ 20 21 40 01 06</t>
  </si>
  <si>
    <t>Покрытие мраморной крошкой</t>
  </si>
  <si>
    <t>СТ 20 21 40 01 07</t>
  </si>
  <si>
    <t>Покрытие песчаное</t>
  </si>
  <si>
    <t>СТ 20 21 50</t>
  </si>
  <si>
    <t>Покрытия из георешеток</t>
  </si>
  <si>
    <t>СТ 20 21 50 01</t>
  </si>
  <si>
    <t>Георешетка для склонов и откосов</t>
  </si>
  <si>
    <t>СТ 20 21 50 02</t>
  </si>
  <si>
    <t>Георешетка газонная пластиковая</t>
  </si>
  <si>
    <t>СТ 20 21 50 03</t>
  </si>
  <si>
    <t>Георешетка газонная бетонная</t>
  </si>
  <si>
    <t>СТ 20 21 50 04</t>
  </si>
  <si>
    <t>Георешетка для канав и береговой линии</t>
  </si>
  <si>
    <t>СТ 20 21 60</t>
  </si>
  <si>
    <t>Покрытия из растительного материала</t>
  </si>
  <si>
    <t>СТ 20 21 60 01</t>
  </si>
  <si>
    <t>Покрытия из газона</t>
  </si>
  <si>
    <t>СТ 20 21 60 01 01</t>
  </si>
  <si>
    <t>Газон посевной</t>
  </si>
  <si>
    <t>СТ 20 21 60 01 02</t>
  </si>
  <si>
    <t>Газон рулонный</t>
  </si>
  <si>
    <t>СТ 20 21 60 01 03</t>
  </si>
  <si>
    <t>Газон спортивный</t>
  </si>
  <si>
    <t>СТ 20 25</t>
  </si>
  <si>
    <t>Изделия для обустройства тоннеля</t>
  </si>
  <si>
    <t>СТ 20 25 01</t>
  </si>
  <si>
    <t>Конструкции обделки</t>
  </si>
  <si>
    <t>СТ 20 25 01 01</t>
  </si>
  <si>
    <t>Тюбинг</t>
  </si>
  <si>
    <t>СТ 20 25 01 02</t>
  </si>
  <si>
    <t>Цельная секция</t>
  </si>
  <si>
    <t>СТ 20 25 02</t>
  </si>
  <si>
    <t>СТ 20 25 03</t>
  </si>
  <si>
    <t>СТ 21</t>
  </si>
  <si>
    <t>Изделия санитарные</t>
  </si>
  <si>
    <t>СТ 21 10</t>
  </si>
  <si>
    <t>Изделия санитарные керамические</t>
  </si>
  <si>
    <t>СТ 21 10 10</t>
  </si>
  <si>
    <t>Умывальники керамические</t>
  </si>
  <si>
    <t>СТ 21 10 20</t>
  </si>
  <si>
    <t>Унитазы керамические</t>
  </si>
  <si>
    <t>СТ 21 10 30</t>
  </si>
  <si>
    <t>Писуары керамические</t>
  </si>
  <si>
    <t>СТ 30</t>
  </si>
  <si>
    <t>Кабельно-проводниковая продукция, изделия для монтажа кабелей</t>
  </si>
  <si>
    <t>СТ 30 10</t>
  </si>
  <si>
    <t>СТ 30 10 10</t>
  </si>
  <si>
    <t>Кабели</t>
  </si>
  <si>
    <t>СТ 30 10 10 10</t>
  </si>
  <si>
    <t>СТ 30 10 10 10 01</t>
  </si>
  <si>
    <t>Кабели для сетей электрифицированного транспорта</t>
  </si>
  <si>
    <t>СТ 30 10 10 10 02</t>
  </si>
  <si>
    <t>Кабели силовые c бумажной изоляцией</t>
  </si>
  <si>
    <t>СТ 30 10 10 10 03</t>
  </si>
  <si>
    <t>Кабели силовые для нестационарной прокладки</t>
  </si>
  <si>
    <t>СТ 30 10 10 10 04</t>
  </si>
  <si>
    <t>Кабели силовые на напряжение 110-220 кВ</t>
  </si>
  <si>
    <t>СТ 30 10 10 10 05</t>
  </si>
  <si>
    <t>Кабели силовые с пластмассовой изоляцией до 10 кВ</t>
  </si>
  <si>
    <t>СТ 30 10 10 10 06</t>
  </si>
  <si>
    <t>Кабели силовые с пластмассовой изоляцией от 6 до 35 кВ</t>
  </si>
  <si>
    <t>СТ 30 10 10 10 07</t>
  </si>
  <si>
    <t>Кабели установочные</t>
  </si>
  <si>
    <t>СТ 30 10 10 10 08</t>
  </si>
  <si>
    <t>Кабели шахтные</t>
  </si>
  <si>
    <t>СТ 30 10 10 20</t>
  </si>
  <si>
    <t>СТ 30 10 10 20 01</t>
  </si>
  <si>
    <t>Кабели связи оптические магистральные</t>
  </si>
  <si>
    <t>СТ 30 10 10 20 02</t>
  </si>
  <si>
    <t>Кабели связи оптические локальные</t>
  </si>
  <si>
    <t>СТ 30 10 10 20 03</t>
  </si>
  <si>
    <t>Кабели для передачи данных низкочастотные</t>
  </si>
  <si>
    <t>СТ 30 10 10 20 04</t>
  </si>
  <si>
    <t>Кабели местной связи высокочастотные</t>
  </si>
  <si>
    <t>СТ 30 10 10 20 05</t>
  </si>
  <si>
    <t>Кабели связи коаксиальные радиочастотные</t>
  </si>
  <si>
    <t>СТ 30 10 10 20 06</t>
  </si>
  <si>
    <t>Кабели связи комбинированные</t>
  </si>
  <si>
    <t>СТ 30 10 10 20 07</t>
  </si>
  <si>
    <t>Кабели связи симметричные для цифровых систем передачи (витая пара)</t>
  </si>
  <si>
    <t>СТ 30 10 10 30</t>
  </si>
  <si>
    <t>Кабели контрольные</t>
  </si>
  <si>
    <t>СТ 30 10 10 40</t>
  </si>
  <si>
    <t>Кабели пожарные</t>
  </si>
  <si>
    <t>СТ 30 10 20</t>
  </si>
  <si>
    <t>СТ 30 10 20 10</t>
  </si>
  <si>
    <t>Медные контактные провода</t>
  </si>
  <si>
    <t>СТ 30 10 20 15</t>
  </si>
  <si>
    <t>Медные неизолированные гибкие</t>
  </si>
  <si>
    <t>СТ 30 10 20 20</t>
  </si>
  <si>
    <t>Провода в силиконовой изоляции</t>
  </si>
  <si>
    <t>СТ 30 10 20 25</t>
  </si>
  <si>
    <t>Провода высоковольтные монтажные телевизионные</t>
  </si>
  <si>
    <t>СТ 30 10 20 30</t>
  </si>
  <si>
    <t>Провода для подвижного состава и электротранспорта</t>
  </si>
  <si>
    <t>СТ 30 10 20 35</t>
  </si>
  <si>
    <t>Провода и шнуры соединительные с дополнительными требованиями</t>
  </si>
  <si>
    <t>СТ 30 10 20 40</t>
  </si>
  <si>
    <t>Провода и шнуры соединительные</t>
  </si>
  <si>
    <t>СТ 30 10 20 45</t>
  </si>
  <si>
    <t>Провода монтажные</t>
  </si>
  <si>
    <t>СТ 30 10 20 50</t>
  </si>
  <si>
    <t>Провода самонесущие изолированные и защищенные СИП</t>
  </si>
  <si>
    <t>СТ 30 10 20 55</t>
  </si>
  <si>
    <t>Провода связи</t>
  </si>
  <si>
    <t>СТ 30 10 20 60</t>
  </si>
  <si>
    <t>Провода термостойкие</t>
  </si>
  <si>
    <t>СТ 30 10 20 65</t>
  </si>
  <si>
    <t>Провода установочные</t>
  </si>
  <si>
    <t>СТ 30 10 20 70</t>
  </si>
  <si>
    <t>Провода установочные бытового назначения</t>
  </si>
  <si>
    <t>СТ 30 20</t>
  </si>
  <si>
    <t>Изделия для монтажа кабелей</t>
  </si>
  <si>
    <t>СТ 30 20 10</t>
  </si>
  <si>
    <t>Муфты кабельные</t>
  </si>
  <si>
    <t>СТ 30 20 10 10</t>
  </si>
  <si>
    <t>Муфты общепромышленного применения</t>
  </si>
  <si>
    <t>СТ 30 20 10 10 01</t>
  </si>
  <si>
    <t>Муфты концевые</t>
  </si>
  <si>
    <t>СТ 30 20 10 10 02</t>
  </si>
  <si>
    <t>Муфты соединительные</t>
  </si>
  <si>
    <t>Подкласс элемента/Помещение</t>
  </si>
  <si>
    <t>Класс элемента/Группа помещений</t>
  </si>
  <si>
    <t>Наименование МССК</t>
  </si>
  <si>
    <t>Упомянутые в Приказе коды</t>
  </si>
  <si>
    <t>Совмещённое название</t>
  </si>
  <si>
    <t>Материалы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</si>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</sst>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\.dd\.yy;@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trike/>
      <sz val="11"/>
      <color theme="0" tint="-0.499984740745262"/>
      <name val="Calibri"/>
      <family val="2"/>
      <charset val="204"/>
      <scheme val="minor"/>
    </font>
    <font>
      <b/>
      <strike/>
      <sz val="11"/>
      <color theme="0" tint="-0.499984740745262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D7C31"/>
      </patternFill>
    </fill>
    <fill>
      <patternFill patternType="solid">
        <fgColor rgb="FFC6DFB3"/>
      </patternFill>
    </fill>
    <fill>
      <patternFill patternType="solid">
        <fgColor rgb="FFFFF2CC"/>
      </patternFill>
    </fill>
    <fill>
      <patternFill patternType="solid">
        <fgColor rgb="FFEC7C30"/>
      </patternFill>
    </fill>
    <fill>
      <patternFill patternType="solid">
        <fgColor rgb="FFC5DFB4"/>
      </patternFill>
    </fill>
    <fill>
      <patternFill patternType="solid">
        <fgColor rgb="FFFFF1CC"/>
      </patternFill>
    </fill>
    <fill>
      <patternFill patternType="solid">
        <fgColor rgb="FFEAFCFD"/>
      </patternFill>
    </fill>
    <fill>
      <patternFill patternType="solid">
        <fgColor rgb="FFE9FDFD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6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/>
    <xf numFmtId="0" fontId="0" fillId="0" borderId="0" xfId="0" pivotButton="1" applyAlignment="1"/>
    <xf numFmtId="0" fontId="10" fillId="0" borderId="0" xfId="1" applyFont="1" applyAlignment="1">
      <alignment horizontal="left" vertical="center"/>
    </xf>
    <xf numFmtId="0" fontId="9" fillId="0" borderId="0" xfId="1" applyAlignment="1">
      <alignment vertical="center"/>
    </xf>
    <xf numFmtId="0" fontId="9" fillId="0" borderId="0" xfId="1" applyAlignment="1">
      <alignment horizontal="left" vertical="top"/>
    </xf>
    <xf numFmtId="0" fontId="11" fillId="3" borderId="1" xfId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left" vertical="top"/>
    </xf>
    <xf numFmtId="0" fontId="9" fillId="0" borderId="0" xfId="1" applyAlignment="1">
      <alignment horizontal="left" vertical="top" wrapText="1"/>
    </xf>
    <xf numFmtId="0" fontId="11" fillId="4" borderId="1" xfId="1" applyFont="1" applyFill="1" applyBorder="1" applyAlignment="1">
      <alignment horizontal="left" vertical="top"/>
    </xf>
    <xf numFmtId="0" fontId="11" fillId="4" borderId="1" xfId="1" applyFont="1" applyFill="1" applyBorder="1" applyAlignment="1">
      <alignment vertical="top"/>
    </xf>
    <xf numFmtId="0" fontId="9" fillId="0" borderId="0" xfId="1" applyAlignment="1">
      <alignment horizontal="left" wrapText="1"/>
    </xf>
    <xf numFmtId="0" fontId="11" fillId="5" borderId="1" xfId="1" applyFont="1" applyFill="1" applyBorder="1" applyAlignment="1">
      <alignment horizontal="left" vertical="top"/>
    </xf>
    <xf numFmtId="0" fontId="11" fillId="5" borderId="1" xfId="1" applyFont="1" applyFill="1" applyBorder="1" applyAlignment="1">
      <alignment vertical="top"/>
    </xf>
    <xf numFmtId="0" fontId="10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vertical="top"/>
    </xf>
    <xf numFmtId="0" fontId="9" fillId="0" borderId="1" xfId="1" applyBorder="1"/>
    <xf numFmtId="0" fontId="9" fillId="0" borderId="1" xfId="1" applyBorder="1" applyAlignment="1">
      <alignment vertical="center"/>
    </xf>
    <xf numFmtId="0" fontId="9" fillId="0" borderId="0" xfId="1" applyAlignment="1">
      <alignment horizontal="left" vertical="center" wrapText="1"/>
    </xf>
    <xf numFmtId="0" fontId="9" fillId="0" borderId="1" xfId="1" applyBorder="1" applyAlignment="1">
      <alignment vertical="top"/>
    </xf>
    <xf numFmtId="0" fontId="10" fillId="5" borderId="1" xfId="1" applyFont="1" applyFill="1" applyBorder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6" borderId="1" xfId="1" applyFont="1" applyFill="1" applyBorder="1" applyAlignment="1">
      <alignment horizontal="left" vertical="center"/>
    </xf>
    <xf numFmtId="0" fontId="13" fillId="6" borderId="1" xfId="1" applyFont="1" applyFill="1" applyBorder="1" applyAlignment="1">
      <alignment horizontal="left" vertical="top"/>
    </xf>
    <xf numFmtId="0" fontId="13" fillId="7" borderId="1" xfId="1" applyFont="1" applyFill="1" applyBorder="1" applyAlignment="1">
      <alignment horizontal="left" vertical="top"/>
    </xf>
    <xf numFmtId="0" fontId="13" fillId="7" borderId="1" xfId="1" applyFont="1" applyFill="1" applyBorder="1" applyAlignment="1">
      <alignment vertical="top"/>
    </xf>
    <xf numFmtId="0" fontId="13" fillId="8" borderId="1" xfId="1" applyFont="1" applyFill="1" applyBorder="1" applyAlignment="1">
      <alignment horizontal="left" vertical="top"/>
    </xf>
    <xf numFmtId="0" fontId="13" fillId="8" borderId="1" xfId="1" applyFont="1" applyFill="1" applyBorder="1" applyAlignment="1">
      <alignment vertical="top"/>
    </xf>
    <xf numFmtId="0" fontId="13" fillId="9" borderId="1" xfId="1" applyFont="1" applyFill="1" applyBorder="1" applyAlignment="1">
      <alignment horizontal="left" vertical="top"/>
    </xf>
    <xf numFmtId="0" fontId="13" fillId="9" borderId="1" xfId="1" applyFont="1" applyFill="1" applyBorder="1" applyAlignment="1">
      <alignment vertical="top"/>
    </xf>
    <xf numFmtId="0" fontId="12" fillId="9" borderId="1" xfId="1" applyFont="1" applyFill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12" fillId="0" borderId="1" xfId="1" applyFont="1" applyBorder="1" applyAlignment="1">
      <alignment vertical="top"/>
    </xf>
    <xf numFmtId="0" fontId="14" fillId="0" borderId="1" xfId="1" applyFont="1" applyBorder="1"/>
    <xf numFmtId="0" fontId="13" fillId="5" borderId="1" xfId="1" applyFont="1" applyFill="1" applyBorder="1" applyAlignment="1">
      <alignment horizontal="left" vertical="top"/>
    </xf>
    <xf numFmtId="0" fontId="13" fillId="5" borderId="1" xfId="1" applyFont="1" applyFill="1" applyBorder="1" applyAlignment="1">
      <alignment vertical="top"/>
    </xf>
    <xf numFmtId="0" fontId="13" fillId="4" borderId="1" xfId="1" applyFont="1" applyFill="1" applyBorder="1" applyAlignment="1">
      <alignment horizontal="left" vertical="top"/>
    </xf>
    <xf numFmtId="0" fontId="13" fillId="4" borderId="1" xfId="1" applyFont="1" applyFill="1" applyBorder="1" applyAlignment="1">
      <alignment vertical="top"/>
    </xf>
    <xf numFmtId="0" fontId="14" fillId="0" borderId="1" xfId="1" applyFont="1" applyBorder="1" applyAlignment="1">
      <alignment horizontal="left"/>
    </xf>
    <xf numFmtId="0" fontId="14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vertical="center"/>
    </xf>
    <xf numFmtId="0" fontId="12" fillId="0" borderId="1" xfId="1" applyFont="1" applyBorder="1" applyAlignment="1">
      <alignment horizontal="left" vertical="center"/>
    </xf>
    <xf numFmtId="0" fontId="13" fillId="10" borderId="1" xfId="1" applyFont="1" applyFill="1" applyBorder="1" applyAlignment="1">
      <alignment horizontal="left" vertical="top"/>
    </xf>
    <xf numFmtId="0" fontId="13" fillId="10" borderId="1" xfId="1" applyFont="1" applyFill="1" applyBorder="1" applyAlignment="1">
      <alignment vertical="top"/>
    </xf>
    <xf numFmtId="0" fontId="12" fillId="10" borderId="1" xfId="1" applyFont="1" applyFill="1" applyBorder="1" applyAlignment="1">
      <alignment horizontal="left" vertical="top"/>
    </xf>
    <xf numFmtId="0" fontId="14" fillId="10" borderId="1" xfId="1" applyFont="1" applyFill="1" applyBorder="1"/>
    <xf numFmtId="0" fontId="12" fillId="5" borderId="1" xfId="1" applyFont="1" applyFill="1" applyBorder="1" applyAlignment="1">
      <alignment horizontal="left" vertical="top"/>
    </xf>
    <xf numFmtId="0" fontId="14" fillId="10" borderId="1" xfId="1" applyFont="1" applyFill="1" applyBorder="1" applyAlignment="1">
      <alignment horizontal="left"/>
    </xf>
    <xf numFmtId="0" fontId="14" fillId="0" borderId="1" xfId="1" applyFont="1" applyBorder="1" applyAlignment="1">
      <alignment horizontal="left" vertical="top"/>
    </xf>
    <xf numFmtId="0" fontId="14" fillId="8" borderId="1" xfId="1" applyFont="1" applyFill="1" applyBorder="1" applyAlignment="1">
      <alignment horizontal="left"/>
    </xf>
    <xf numFmtId="0" fontId="12" fillId="8" borderId="1" xfId="1" applyFont="1" applyFill="1" applyBorder="1" applyAlignment="1">
      <alignment horizontal="left" vertical="top"/>
    </xf>
    <xf numFmtId="0" fontId="14" fillId="5" borderId="1" xfId="1" applyFont="1" applyFill="1" applyBorder="1" applyAlignment="1">
      <alignment horizontal="left"/>
    </xf>
    <xf numFmtId="0" fontId="14" fillId="5" borderId="1" xfId="1" applyFont="1" applyFill="1" applyBorder="1"/>
    <xf numFmtId="0" fontId="12" fillId="0" borderId="1" xfId="1" applyFont="1" applyBorder="1" applyAlignment="1">
      <alignment vertical="center"/>
    </xf>
    <xf numFmtId="0" fontId="14" fillId="0" borderId="1" xfId="1" applyFont="1" applyBorder="1" applyAlignment="1">
      <alignment vertical="top"/>
    </xf>
    <xf numFmtId="0" fontId="14" fillId="5" borderId="1" xfId="1" applyFont="1" applyFill="1" applyBorder="1" applyAlignment="1">
      <alignment vertical="top"/>
    </xf>
    <xf numFmtId="0" fontId="11" fillId="3" borderId="1" xfId="1" applyFont="1" applyFill="1" applyBorder="1" applyAlignment="1">
      <alignment vertical="top"/>
    </xf>
    <xf numFmtId="0" fontId="11" fillId="3" borderId="1" xfId="1" applyFont="1" applyFill="1" applyBorder="1" applyAlignment="1">
      <alignment horizontal="center" vertical="top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left" vertical="top"/>
    </xf>
    <xf numFmtId="0" fontId="9" fillId="0" borderId="0" xfId="1" applyAlignment="1">
      <alignment horizontal="left"/>
    </xf>
    <xf numFmtId="0" fontId="11" fillId="11" borderId="1" xfId="1" applyFont="1" applyFill="1" applyBorder="1" applyAlignment="1">
      <alignment horizontal="left" vertical="top"/>
    </xf>
    <xf numFmtId="0" fontId="11" fillId="11" borderId="1" xfId="1" applyFont="1" applyFill="1" applyBorder="1" applyAlignment="1">
      <alignment vertical="top"/>
    </xf>
    <xf numFmtId="0" fontId="9" fillId="0" borderId="1" xfId="1" applyBorder="1" applyAlignment="1">
      <alignment horizontal="left" vertical="center"/>
    </xf>
    <xf numFmtId="0" fontId="9" fillId="0" borderId="1" xfId="1" applyBorder="1" applyAlignment="1">
      <alignment horizontal="left"/>
    </xf>
    <xf numFmtId="0" fontId="9" fillId="0" borderId="0" xfId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1" xfId="1" applyBorder="1" applyAlignment="1">
      <alignment horizontal="left" vertical="top"/>
    </xf>
    <xf numFmtId="0" fontId="11" fillId="10" borderId="1" xfId="1" applyFont="1" applyFill="1" applyBorder="1" applyAlignment="1">
      <alignment horizontal="left" vertical="top"/>
    </xf>
    <xf numFmtId="0" fontId="11" fillId="10" borderId="1" xfId="1" applyFont="1" applyFill="1" applyBorder="1" applyAlignment="1">
      <alignment vertical="top"/>
    </xf>
    <xf numFmtId="0" fontId="11" fillId="12" borderId="1" xfId="1" applyFont="1" applyFill="1" applyBorder="1" applyAlignment="1">
      <alignment horizontal="left" vertical="top"/>
    </xf>
    <xf numFmtId="0" fontId="11" fillId="12" borderId="1" xfId="1" applyFont="1" applyFill="1" applyBorder="1" applyAlignment="1">
      <alignment vertical="top"/>
    </xf>
    <xf numFmtId="0" fontId="10" fillId="10" borderId="1" xfId="1" applyFont="1" applyFill="1" applyBorder="1" applyAlignment="1">
      <alignment horizontal="left" vertical="top"/>
    </xf>
    <xf numFmtId="0" fontId="10" fillId="11" borderId="1" xfId="1" applyFont="1" applyFill="1" applyBorder="1" applyAlignment="1">
      <alignment horizontal="left" vertical="top"/>
    </xf>
    <xf numFmtId="0" fontId="10" fillId="0" borderId="1" xfId="1" applyFont="1" applyBorder="1" applyAlignment="1">
      <alignment vertical="center"/>
    </xf>
    <xf numFmtId="164" fontId="9" fillId="0" borderId="1" xfId="1" applyNumberFormat="1" applyBorder="1" applyAlignment="1">
      <alignment horizontal="left" vertical="top" shrinkToFit="1"/>
    </xf>
    <xf numFmtId="0" fontId="10" fillId="12" borderId="1" xfId="1" applyFont="1" applyFill="1" applyBorder="1" applyAlignment="1">
      <alignment horizontal="left" vertical="top"/>
    </xf>
    <xf numFmtId="0" fontId="10" fillId="0" borderId="1" xfId="1" applyFont="1" applyBorder="1" applyAlignment="1">
      <alignment horizontal="left"/>
    </xf>
    <xf numFmtId="0" fontId="9" fillId="12" borderId="1" xfId="1" applyFill="1" applyBorder="1" applyAlignment="1">
      <alignment horizontal="left"/>
    </xf>
    <xf numFmtId="0" fontId="9" fillId="12" borderId="1" xfId="1" applyFill="1" applyBorder="1" applyAlignment="1">
      <alignment vertical="center"/>
    </xf>
    <xf numFmtId="0" fontId="9" fillId="12" borderId="1" xfId="1" applyFill="1" applyBorder="1" applyAlignment="1">
      <alignment horizontal="left" vertical="center"/>
    </xf>
    <xf numFmtId="0" fontId="9" fillId="12" borderId="1" xfId="1" applyFill="1" applyBorder="1"/>
    <xf numFmtId="0" fontId="11" fillId="10" borderId="1" xfId="1" applyFont="1" applyFill="1" applyBorder="1" applyAlignment="1">
      <alignment vertical="center"/>
    </xf>
    <xf numFmtId="0" fontId="10" fillId="0" borderId="1" xfId="1" applyFont="1" applyBorder="1" applyAlignment="1">
      <alignment vertical="top" wrapText="1"/>
    </xf>
    <xf numFmtId="0" fontId="0" fillId="13" borderId="1" xfId="0" applyFill="1" applyBorder="1"/>
    <xf numFmtId="0" fontId="0" fillId="13" borderId="1" xfId="0" applyFill="1" applyBorder="1" applyAlignment="1"/>
    <xf numFmtId="0" fontId="16" fillId="0" borderId="0" xfId="0" applyFont="1"/>
    <xf numFmtId="0" fontId="0" fillId="2" borderId="1" xfId="0" applyFill="1" applyBorder="1"/>
    <xf numFmtId="0" fontId="0" fillId="2" borderId="1" xfId="0" applyFill="1" applyBorder="1" applyAlignment="1"/>
    <xf numFmtId="0" fontId="8" fillId="14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17" fillId="0" borderId="1" xfId="1" applyFont="1" applyBorder="1" applyAlignment="1">
      <alignment horizontal="left" vertical="center"/>
    </xf>
    <xf numFmtId="0" fontId="18" fillId="4" borderId="1" xfId="1" applyFont="1" applyFill="1" applyBorder="1" applyAlignment="1">
      <alignment vertical="top"/>
    </xf>
    <xf numFmtId="0" fontId="17" fillId="0" borderId="1" xfId="1" applyFont="1" applyBorder="1" applyAlignment="1">
      <alignment horizontal="left" vertical="top"/>
    </xf>
    <xf numFmtId="0" fontId="18" fillId="11" borderId="1" xfId="1" applyFont="1" applyFill="1" applyBorder="1" applyAlignment="1">
      <alignment vertical="top"/>
    </xf>
    <xf numFmtId="0" fontId="18" fillId="10" borderId="1" xfId="1" applyFont="1" applyFill="1" applyBorder="1" applyAlignment="1">
      <alignment vertical="top"/>
    </xf>
    <xf numFmtId="0" fontId="18" fillId="10" borderId="1" xfId="1" applyFont="1" applyFill="1" applyBorder="1" applyAlignment="1">
      <alignment horizontal="left" vertical="top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18" fillId="12" borderId="1" xfId="1" applyFont="1" applyFill="1" applyBorder="1" applyAlignment="1">
      <alignment horizontal="left" vertical="top"/>
    </xf>
    <xf numFmtId="0" fontId="18" fillId="12" borderId="1" xfId="1" applyFont="1" applyFill="1" applyBorder="1" applyAlignment="1">
      <alignment vertical="top"/>
    </xf>
    <xf numFmtId="0" fontId="0" fillId="19" borderId="1" xfId="0" applyFill="1" applyBorder="1"/>
    <xf numFmtId="0" fontId="0" fillId="19" borderId="1" xfId="0" applyFill="1" applyBorder="1" applyAlignment="1"/>
    <xf numFmtId="0" fontId="12" fillId="0" borderId="2" xfId="1" applyFont="1" applyBorder="1" applyAlignment="1">
      <alignment horizontal="left" vertical="center"/>
    </xf>
    <xf numFmtId="0" fontId="10" fillId="0" borderId="2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8D81B552-7AF2-43AF-8817-4474C72E5D5C}"/>
  </cellStyles>
  <dxfs count="308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/>
        <i val="0"/>
      </font>
    </dxf>
    <dxf>
      <font>
        <b/>
        <i val="0"/>
      </font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5117038483843"/>
        </horizontal>
      </border>
    </dxf>
  </dxfs>
  <tableStyles count="2" defaultTableStyle="TableStyleMedium2" defaultPivotStyle="PivotStyleLight16">
    <tableStyle name="123" table="0" count="13" xr9:uid="{79862C89-F49E-4433-A506-A5A51BE35E49}">
      <tableStyleElement type="wholeTable" dxfId="307"/>
      <tableStyleElement type="headerRow" dxfId="306"/>
      <tableStyleElement type="totalRow" dxfId="305"/>
      <tableStyleElement type="firstRowStripe" dxfId="304"/>
      <tableStyleElement type="firstColumnStripe" dxfId="303"/>
      <tableStyleElement type="firstHeaderCell" dxfId="302"/>
      <tableStyleElement type="firstSubtotalRow" dxfId="301"/>
      <tableStyleElement type="secondSubtotalRow" dxfId="300"/>
      <tableStyleElement type="firstColumnSubheading" dxfId="299"/>
      <tableStyleElement type="firstRowSubheading" dxfId="298"/>
      <tableStyleElement type="secondRowSubheading" dxfId="297"/>
      <tableStyleElement type="pageFieldLabels" dxfId="296"/>
      <tableStyleElement type="pageFieldValues" dxfId="295"/>
    </tableStyle>
    <tableStyle name="Стиль сводной таблицы 1" table="0" count="5" xr9:uid="{4B76F455-9E38-4FF4-9DB0-25BFC9129D64}">
      <tableStyleElement type="wholeTable" dxfId="294"/>
      <tableStyleElement type="headerRow" dxfId="293"/>
      <tableStyleElement type="firstColumn" dxfId="292"/>
      <tableStyleElement type="firstRowStripe" dxfId="291"/>
      <tableStyleElement type="firstColumnStripe" dxfId="29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андр Федоров" refreshedDate="46115.571436921295" createdVersion="7" refreshedVersion="7" minRefreshableVersion="3" recordCount="144" xr:uid="{959C5355-1AB5-49E8-8228-689F5A3137E4}">
  <cacheSource type="worksheet">
    <worksheetSource ref="A1:O145" sheet="СВОД"/>
  </cacheSource>
  <cacheFields count="15">
    <cacheField name="Б.#" numFmtId="0">
      <sharedItems/>
    </cacheField>
    <cacheField name="Вид объекта: " numFmtId="0">
      <sharedItems/>
    </cacheField>
    <cacheField name="Разделы ЦИМ:" numFmtId="0">
      <sharedItems/>
    </cacheField>
    <cacheField name="Класс IFC:" numFmtId="0">
      <sharedItems count="13">
        <s v="IfcBuilding"/>
        <s v="IfcBuildingElementProxy"/>
        <s v="IfcSpace"/>
        <s v="IfcWall"/>
        <s v="IfcColumn"/>
        <s v="IfcStair"/>
        <s v="IfcRamp"/>
        <s v="IfcSlab"/>
        <s v="IfcWindow"/>
        <s v="IfcDoor"/>
        <s v="IfcCurtainWall"/>
        <s v="IfcMember"/>
        <s v="IfcPlate"/>
      </sharedItems>
    </cacheField>
    <cacheField name="Элемент:" numFmtId="0">
      <sharedItems count="15">
        <s v="Объект"/>
        <s v="Вспомогательное 3D-тело"/>
        <s v="Помещение"/>
        <s v="Зона (СПП в ГНС)"/>
        <s v="Зона (Общая площадь)"/>
        <s v="Стена, перегородка"/>
        <s v="Колонна, пилястра"/>
        <s v="Лестница"/>
        <s v="Пандус, рампа"/>
        <s v="Перекрытие"/>
        <s v="Окно, балконный блок, остекление витража"/>
        <s v="Дверь, ворота, люк"/>
        <s v="Фасад"/>
        <s v="Импост витражной системы (навесного фасада)"/>
        <s v="Панель витражной системы (навесного фасада)"/>
      </sharedItems>
    </cacheField>
    <cacheField name="Код МССК:" numFmtId="0">
      <sharedItems containsBlank="1" count="13" longText="1">
        <m/>
        <s v="ЭЛ 30 30 10, ЭЛ 30 30 20"/>
        <s v="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"/>
        <s v="ПЗ 03"/>
        <s v="ЭЛ 20 20 06, ЭЛ 30 10 15, ЭЛ 30 10 20, ЭЛ 30 10 36, ЭЛ 30 10 75, ЭЛ 30 10 76, ЭЛ 30 10 77, ЭЛ 30 10 78, ЭЛ 30 10 79, ЭЛ 30 16 77, ЭЛ 30 16 78"/>
        <s v="ЭЛ 30 16 15, ЭЛ 30 16 25, ЭЛ 30 16 40, ЭЛ 30 16 42, ЭЛ 30 16 50, ЭЛ 30 16 51"/>
        <s v="ЭЛ 30 24 30, ЭЛ 30 24 35"/>
        <s v="ЭЛ 30 24 40, ЭЛ 30 24 60"/>
        <s v="ЭЛ 30 10 40, ЭЛ 30 10 56, ЭЛ 30 10 57, ЭЛ 30 10 58, ЭЛ 30 10 80, ЭЛ 30 16 25, ЭЛ 30 24 20, ЭЛ 30 24 50, ЭЛ 30 24 51, ЭЛ 60 20 13"/>
        <s v="ЭЛ 20 30 24, ЭЛ 30 18 09, ЭЛ 30 18 40, ЭЛ 30 18 52, ЭЛ 30 18 52 10"/>
        <s v="ЭЛ 30 18 20, ЭЛ 30 18 20 01, ЭЛ 30 18 20 02, ЭЛ 30 18 30, ЭЛ 30 18 30 10, ЭЛ 30 18 30 20, ЭЛ 30 18 30 30, ЭЛ 30 18 30 31, ЭЛ 30 18 50, ЭЛ 30 18 50 10, ЭЛ 30 18 50 20, ЭЛ 35 01 01, ЭЛ 35 01 02, ЭЛ 40 50 27 06"/>
        <s v="ЭЛ 30 10 10, ЭЛ 30 10 35, ЭЛ 30 10 60, ЭЛ 30 10 61"/>
        <s v="ЭЛ 30 10 10 20, ЭЛ 30 10 61 02"/>
      </sharedItems>
    </cacheField>
    <cacheField name="Группа" numFmtId="0">
      <sharedItems/>
    </cacheField>
    <cacheField name="№" numFmtId="0">
      <sharedItems containsSemiMixedTypes="0" containsString="0" containsNumber="1" containsInteger="1" minValue="1" maxValue="16"/>
    </cacheField>
    <cacheField name="Набор атрибутов" numFmtId="0">
      <sharedItems count="6">
        <s v="RusSet_Project"/>
        <s v="RusSet_AGR"/>
        <s v="RusSet_Common"/>
        <s v="RusSet_Quantities"/>
        <s v="RusSet_Location"/>
        <s v="RusSet_Identification"/>
      </sharedItems>
    </cacheField>
    <cacheField name="Наименование параметра" numFmtId="0">
      <sharedItems count="31">
        <s v="Наименование проекта"/>
        <s v="Адрес"/>
        <s v="Функциональное назначение объекта"/>
        <s v="Код элемента МССК"/>
        <s v="Наименование"/>
        <s v="Наименование элемента МССК"/>
        <s v="Объем"/>
        <s v="Высота"/>
        <s v="Ширина"/>
        <s v="Длина"/>
        <s v="Номер объекта (корпуса)"/>
        <s v="Номер подобъекта (секции)"/>
        <s v="Код помещения и зоны МССК"/>
        <s v="Наименование помещения и зоны МССК"/>
        <s v="Площадь"/>
        <s v="Категория функциональной зоны"/>
        <s v="Группа помещений"/>
        <s v="Номер группы помещений"/>
        <s v="Номер помещения"/>
        <s v="Подземный этаж"/>
        <s v="Плавающая высотная отметка уровня"/>
        <s v="Студия (тип квартиры)"/>
        <s v="Жилая зона"/>
        <s v="Толщина"/>
        <s v="Диаметр"/>
        <s v="Уклон"/>
        <s v="Код материала МССК"/>
        <s v="Наименование материала МССК"/>
        <s v="Высота подоконника"/>
        <s v="Площадь остекления"/>
        <s v="Масса"/>
      </sharedItems>
    </cacheField>
    <cacheField name="Имя параметра IFC " numFmtId="0">
      <sharedItems count="31">
        <s v="RUS_ProjectName"/>
        <s v="RUS_BuildingAddress"/>
        <s v="RUS_FNO"/>
        <s v="RUS_MSSK_Element_Code"/>
        <s v="RUS_Name"/>
        <s v="RUS_MSSK_Element_Name"/>
        <s v="RUS_Volume"/>
        <s v="RUS_Height"/>
        <s v="RUS_Width"/>
        <s v="RUS_Length"/>
        <s v="RUS_Object"/>
        <s v="RUS_Object_Sub"/>
        <s v="RUS_MSSK_SpaceAndZone_Code"/>
        <s v="RUS_MSSK_SpaceAndZone_Name"/>
        <s v="RUS_Area"/>
        <s v="RUS_Zone"/>
        <s v="RUS_Group_Type"/>
        <s v="RUS_Group_Number"/>
        <s v="RUS_Number"/>
        <s v="RUS_BasementFloor"/>
        <s v="RUS_GroundFloor"/>
        <s v="RUS_StudioApart"/>
        <s v="RUS_ResidentalRoom"/>
        <s v="RUS_Thickness"/>
        <s v="RUS_Diametr"/>
        <s v="RUS_Slope"/>
        <s v="RUS_MSSK_Material_Code"/>
        <s v="RUS_MSSK_Material_Name"/>
        <s v="RUS_SillHeight"/>
        <s v="RUS_GlazingArea"/>
        <s v="RUS_Weight"/>
      </sharedItems>
    </cacheField>
    <cacheField name="Тип данных" numFmtId="0">
      <sharedItems count="3">
        <s v="Текстовый"/>
        <s v="Вещественный"/>
        <s v="Булевый"/>
      </sharedItems>
    </cacheField>
    <cacheField name="Ед.изм." numFmtId="0">
      <sharedItems count="6">
        <s v="-"/>
        <s v="куб.м."/>
        <s v="мм"/>
        <s v="кв.м."/>
        <s v="˚"/>
        <s v="кг"/>
      </sharedItems>
    </cacheField>
    <cacheField name="Пример" numFmtId="0">
      <sharedItems containsMixedTypes="1" containsNumber="1" minValue="1" maxValue="21000" count="70">
        <s v="Жилой дом"/>
        <s v="г. Москва, Проспект Мира"/>
        <s v="Жилое здание/Нежилое здание"/>
        <s v="ЭЛ 30 30"/>
        <s v="Объем подземной части здания"/>
        <s v="Подземная часть здания"/>
        <n v="30"/>
        <n v="300"/>
        <n v="12.5"/>
        <s v="К01"/>
        <s v="С01"/>
        <s v="ПЗ 30 20 07"/>
        <s v="Кухня"/>
        <n v="3300"/>
        <n v="40"/>
        <n v="60"/>
        <s v="Жилая зона"/>
        <s v="Квартира"/>
        <n v="12"/>
        <n v="1"/>
        <s v="да/нет"/>
        <s v="-"/>
        <s v="СПП в ГНС"/>
        <s v="ПЗ 03"/>
        <s v="Общая площадь"/>
        <s v="ЭЛ 30 10 20"/>
        <s v="Перегородка"/>
        <n v="2100"/>
        <n v="150"/>
        <s v="0.7"/>
        <s v="ЭЛ 30 16 51"/>
        <s v="Пилястра"/>
        <n v="600"/>
        <s v="ЭЛ 30 24 30"/>
        <s v="Лестница монолитная"/>
        <s v="Лестница"/>
        <s v="ЭЛ 30 24 40"/>
        <s v="Пандус монолитная"/>
        <s v="Пандус"/>
        <n v="20"/>
        <s v="ЭЛ 30 10 40"/>
        <s v="Перекрытие монолитное"/>
        <s v="Перекрытие"/>
        <n v="21000"/>
        <n v="10100"/>
        <s v="ЭЛ 30 18 40"/>
        <s v="СТ 10 17 20 10"/>
        <s v="Окно"/>
        <s v="Алюминий"/>
        <n v="1000"/>
        <n v="900"/>
        <s v="ЭЛ 30 18 30"/>
        <s v="Ворота"/>
        <s v="Дверь"/>
        <s v="ЭЛ 30 10 10"/>
        <s v="СТ 00 70"/>
        <s v="Керамогранит тип 3"/>
        <s v="Стекло"/>
        <s v="Витраж"/>
        <n v="70"/>
        <n v="2700"/>
        <n v="7.02"/>
        <s v="ЭЛ 30 10 10 20"/>
        <s v="СТ 00 80"/>
        <s v="Импост витражной системы"/>
        <s v="Пластмасса"/>
        <n v="5"/>
        <s v="ЭЛ 30 10 10 10"/>
        <s v="Панель витражной системы"/>
        <s v="Панель витражной систем"/>
      </sharedItems>
    </cacheField>
    <cacheField name="Изм." numFmtId="0">
      <sharedItems containsBlank="1" count="4">
        <s v="+"/>
        <s v="отменён"/>
        <m u="1"/>
        <s v="отмена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Б.0"/>
    <s v="Непроизводственного назначения"/>
    <s v="Объемно-планировочные и архитектурные решения"/>
    <x v="0"/>
    <x v="0"/>
    <x v="0"/>
    <s v="Сведения о проекте"/>
    <n v="1"/>
    <x v="0"/>
    <x v="0"/>
    <x v="0"/>
    <x v="0"/>
    <x v="0"/>
    <x v="0"/>
    <x v="0"/>
  </r>
  <r>
    <s v="Б.0"/>
    <s v="Непроизводственного назначения"/>
    <s v="Объемно-планировочные и архитектурные решения"/>
    <x v="0"/>
    <x v="0"/>
    <x v="0"/>
    <s v="Сведения о проекте"/>
    <n v="2"/>
    <x v="0"/>
    <x v="1"/>
    <x v="1"/>
    <x v="0"/>
    <x v="0"/>
    <x v="1"/>
    <x v="0"/>
  </r>
  <r>
    <s v="Б.0"/>
    <s v="Непроизводственного назначения"/>
    <s v="Объемно-планировочные и архитектурные решения"/>
    <x v="0"/>
    <x v="0"/>
    <x v="0"/>
    <s v="Материалы АГР"/>
    <n v="3"/>
    <x v="1"/>
    <x v="2"/>
    <x v="2"/>
    <x v="0"/>
    <x v="0"/>
    <x v="2"/>
    <x v="0"/>
  </r>
  <r>
    <s v="Б.1"/>
    <s v="Непроизводственного назначения"/>
    <s v="Объемно-планировочные и архитектурные решения"/>
    <x v="1"/>
    <x v="1"/>
    <x v="1"/>
    <s v="Общие данные"/>
    <n v="1"/>
    <x v="2"/>
    <x v="3"/>
    <x v="3"/>
    <x v="0"/>
    <x v="0"/>
    <x v="3"/>
    <x v="0"/>
  </r>
  <r>
    <s v="Б.1"/>
    <s v="Непроизводственного назначения"/>
    <s v="Объемно-планировочные и архитектурные решения"/>
    <x v="1"/>
    <x v="1"/>
    <x v="1"/>
    <s v="Общие данные"/>
    <n v="2"/>
    <x v="2"/>
    <x v="4"/>
    <x v="4"/>
    <x v="0"/>
    <x v="0"/>
    <x v="4"/>
    <x v="0"/>
  </r>
  <r>
    <s v="Б.1"/>
    <s v="Непроизводственного назначения"/>
    <s v="Объемно-планировочные и архитектурные решения"/>
    <x v="1"/>
    <x v="1"/>
    <x v="1"/>
    <s v="Общие данные"/>
    <n v="3"/>
    <x v="2"/>
    <x v="5"/>
    <x v="5"/>
    <x v="0"/>
    <x v="0"/>
    <x v="5"/>
    <x v="0"/>
  </r>
  <r>
    <s v="Б.1"/>
    <s v="Непроизводственного назначения"/>
    <s v="Объемно-планировочные и архитектурные решения"/>
    <x v="1"/>
    <x v="1"/>
    <x v="1"/>
    <s v="Количественные параметры"/>
    <n v="4"/>
    <x v="3"/>
    <x v="6"/>
    <x v="6"/>
    <x v="1"/>
    <x v="1"/>
    <x v="6"/>
    <x v="1"/>
  </r>
  <r>
    <s v="Б.1"/>
    <s v="Непроизводственного назначения"/>
    <s v="Объемно-планировочные и архитектурные решения"/>
    <x v="1"/>
    <x v="1"/>
    <x v="1"/>
    <s v="Количественные параметры"/>
    <n v="5"/>
    <x v="3"/>
    <x v="7"/>
    <x v="7"/>
    <x v="1"/>
    <x v="2"/>
    <x v="7"/>
    <x v="1"/>
  </r>
  <r>
    <s v="Б.1"/>
    <s v="Непроизводственного назначения"/>
    <s v="Объемно-планировочные и архитектурные решения"/>
    <x v="1"/>
    <x v="1"/>
    <x v="1"/>
    <s v="Количественные параметры"/>
    <n v="6"/>
    <x v="3"/>
    <x v="8"/>
    <x v="8"/>
    <x v="1"/>
    <x v="2"/>
    <x v="7"/>
    <x v="1"/>
  </r>
  <r>
    <s v="Б.1"/>
    <s v="Непроизводственного назначения"/>
    <s v="Объемно-планировочные и архитектурные решения"/>
    <x v="1"/>
    <x v="1"/>
    <x v="1"/>
    <s v="Количественные параметры"/>
    <n v="7"/>
    <x v="3"/>
    <x v="9"/>
    <x v="9"/>
    <x v="1"/>
    <x v="2"/>
    <x v="8"/>
    <x v="1"/>
  </r>
  <r>
    <s v="Б.1"/>
    <s v="Непроизводственного назначения"/>
    <s v="Объемно-планировочные и архитектурные решения"/>
    <x v="1"/>
    <x v="1"/>
    <x v="1"/>
    <s v="Местоположение"/>
    <n v="8"/>
    <x v="4"/>
    <x v="10"/>
    <x v="10"/>
    <x v="0"/>
    <x v="0"/>
    <x v="9"/>
    <x v="0"/>
  </r>
  <r>
    <s v="Б.1"/>
    <s v="Непроизводственного назначения"/>
    <s v="Объемно-планировочные и архитектурные решения"/>
    <x v="1"/>
    <x v="1"/>
    <x v="1"/>
    <s v="Местоположение"/>
    <n v="9"/>
    <x v="4"/>
    <x v="11"/>
    <x v="11"/>
    <x v="0"/>
    <x v="0"/>
    <x v="10"/>
    <x v="0"/>
  </r>
  <r>
    <s v="Б.2"/>
    <s v="Непроизводственного назначения"/>
    <s v="Объемно-планировочные и архитектурные решения"/>
    <x v="2"/>
    <x v="2"/>
    <x v="2"/>
    <s v="Общие данные"/>
    <n v="1"/>
    <x v="2"/>
    <x v="12"/>
    <x v="12"/>
    <x v="0"/>
    <x v="0"/>
    <x v="11"/>
    <x v="0"/>
  </r>
  <r>
    <s v="Б.2"/>
    <s v="Непроизводственного назначения"/>
    <s v="Объемно-планировочные и архитектурные решения"/>
    <x v="2"/>
    <x v="2"/>
    <x v="2"/>
    <s v="Общие данные"/>
    <n v="2"/>
    <x v="2"/>
    <x v="4"/>
    <x v="4"/>
    <x v="0"/>
    <x v="0"/>
    <x v="12"/>
    <x v="0"/>
  </r>
  <r>
    <s v="Б.2"/>
    <s v="Непроизводственного назначения"/>
    <s v="Объемно-планировочные и архитектурные решения"/>
    <x v="2"/>
    <x v="2"/>
    <x v="2"/>
    <s v="Общие данные"/>
    <n v="3"/>
    <x v="2"/>
    <x v="13"/>
    <x v="13"/>
    <x v="0"/>
    <x v="0"/>
    <x v="12"/>
    <x v="0"/>
  </r>
  <r>
    <s v="Б.2"/>
    <s v="Непроизводственного назначения"/>
    <s v="Объемно-планировочные и архитектурные решения"/>
    <x v="2"/>
    <x v="2"/>
    <x v="2"/>
    <s v="Количественные параметры"/>
    <n v="4"/>
    <x v="3"/>
    <x v="7"/>
    <x v="7"/>
    <x v="1"/>
    <x v="2"/>
    <x v="13"/>
    <x v="1"/>
  </r>
  <r>
    <s v="Б.2"/>
    <s v="Непроизводственного назначения"/>
    <s v="Объемно-планировочные и архитектурные решения"/>
    <x v="2"/>
    <x v="2"/>
    <x v="2"/>
    <s v="Количественные параметры"/>
    <n v="5"/>
    <x v="3"/>
    <x v="14"/>
    <x v="14"/>
    <x v="1"/>
    <x v="3"/>
    <x v="14"/>
    <x v="0"/>
  </r>
  <r>
    <s v="Б.2"/>
    <s v="Непроизводственного назначения"/>
    <s v="Объемно-планировочные и архитектурные решения"/>
    <x v="2"/>
    <x v="2"/>
    <x v="2"/>
    <s v="Количественные параметры"/>
    <n v="6"/>
    <x v="3"/>
    <x v="6"/>
    <x v="6"/>
    <x v="1"/>
    <x v="1"/>
    <x v="15"/>
    <x v="1"/>
  </r>
  <r>
    <s v="Б.2"/>
    <s v="Непроизводственного назначения"/>
    <s v="Объемно-планировочные и архитектурные решения"/>
    <x v="2"/>
    <x v="2"/>
    <x v="2"/>
    <s v="Местоположение"/>
    <n v="7"/>
    <x v="4"/>
    <x v="10"/>
    <x v="10"/>
    <x v="0"/>
    <x v="0"/>
    <x v="9"/>
    <x v="0"/>
  </r>
  <r>
    <s v="Б.2"/>
    <s v="Непроизводственного назначения"/>
    <s v="Объемно-планировочные и архитектурные решения"/>
    <x v="2"/>
    <x v="2"/>
    <x v="2"/>
    <s v="Местоположение"/>
    <n v="8"/>
    <x v="4"/>
    <x v="11"/>
    <x v="11"/>
    <x v="0"/>
    <x v="0"/>
    <x v="10"/>
    <x v="0"/>
  </r>
  <r>
    <s v="Б.2"/>
    <s v="Непроизводственного назначения"/>
    <s v="Объемно-планировочные и архитектурные решения"/>
    <x v="2"/>
    <x v="2"/>
    <x v="2"/>
    <s v="Идентификация"/>
    <n v="9"/>
    <x v="5"/>
    <x v="15"/>
    <x v="15"/>
    <x v="0"/>
    <x v="0"/>
    <x v="16"/>
    <x v="0"/>
  </r>
  <r>
    <s v="Б.2"/>
    <s v="Непроизводственного назначения"/>
    <s v="Объемно-планировочные и архитектурные решения"/>
    <x v="2"/>
    <x v="2"/>
    <x v="2"/>
    <s v="Идентификация"/>
    <n v="10"/>
    <x v="5"/>
    <x v="16"/>
    <x v="16"/>
    <x v="0"/>
    <x v="0"/>
    <x v="17"/>
    <x v="0"/>
  </r>
  <r>
    <s v="Б.2"/>
    <s v="Непроизводственного назначения"/>
    <s v="Объемно-планировочные и архитектурные решения"/>
    <x v="2"/>
    <x v="2"/>
    <x v="2"/>
    <s v="Идентификация"/>
    <n v="11"/>
    <x v="5"/>
    <x v="17"/>
    <x v="17"/>
    <x v="0"/>
    <x v="0"/>
    <x v="18"/>
    <x v="0"/>
  </r>
  <r>
    <s v="Б.2"/>
    <s v="Непроизводственного назначения"/>
    <s v="Объемно-планировочные и архитектурные решения"/>
    <x v="2"/>
    <x v="2"/>
    <x v="2"/>
    <s v="Идентификация"/>
    <n v="12"/>
    <x v="5"/>
    <x v="18"/>
    <x v="18"/>
    <x v="0"/>
    <x v="0"/>
    <x v="19"/>
    <x v="0"/>
  </r>
  <r>
    <s v="Б.2"/>
    <s v="Непроизводственного назначения"/>
    <s v="Объемно-планировочные и архитектурные решения"/>
    <x v="2"/>
    <x v="2"/>
    <x v="2"/>
    <s v="Материалы АГР"/>
    <n v="14"/>
    <x v="1"/>
    <x v="19"/>
    <x v="19"/>
    <x v="2"/>
    <x v="0"/>
    <x v="20"/>
    <x v="0"/>
  </r>
  <r>
    <s v="Б.2"/>
    <s v="Непроизводственного назначения"/>
    <s v="Объемно-планировочные и архитектурные решения"/>
    <x v="2"/>
    <x v="2"/>
    <x v="2"/>
    <s v="Материалы АГР"/>
    <n v="15"/>
    <x v="1"/>
    <x v="20"/>
    <x v="20"/>
    <x v="2"/>
    <x v="0"/>
    <x v="20"/>
    <x v="0"/>
  </r>
  <r>
    <s v="Б.2"/>
    <s v="Непроизводственного назначения"/>
    <s v="Объемно-планировочные и архитектурные решения"/>
    <x v="2"/>
    <x v="2"/>
    <x v="2"/>
    <s v="Материалы АГР"/>
    <n v="16"/>
    <x v="1"/>
    <x v="21"/>
    <x v="21"/>
    <x v="2"/>
    <x v="0"/>
    <x v="20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Общие данные"/>
    <n v="1"/>
    <x v="2"/>
    <x v="12"/>
    <x v="12"/>
    <x v="0"/>
    <x v="0"/>
    <x v="21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Общие данные"/>
    <n v="2"/>
    <x v="2"/>
    <x v="4"/>
    <x v="4"/>
    <x v="0"/>
    <x v="0"/>
    <x v="22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Общие данные"/>
    <n v="3"/>
    <x v="2"/>
    <x v="13"/>
    <x v="13"/>
    <x v="0"/>
    <x v="0"/>
    <x v="21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Количественные параметры"/>
    <n v="4"/>
    <x v="3"/>
    <x v="7"/>
    <x v="7"/>
    <x v="1"/>
    <x v="2"/>
    <x v="13"/>
    <x v="1"/>
  </r>
  <r>
    <s v="Б.3.1"/>
    <s v="Непроизводственного назначения"/>
    <s v="Объемно-планировочные и архитектурные решения"/>
    <x v="2"/>
    <x v="3"/>
    <x v="0"/>
    <s v="Количественные параметры"/>
    <n v="5"/>
    <x v="3"/>
    <x v="14"/>
    <x v="14"/>
    <x v="1"/>
    <x v="3"/>
    <x v="14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Количественные параметры"/>
    <n v="6"/>
    <x v="3"/>
    <x v="6"/>
    <x v="6"/>
    <x v="1"/>
    <x v="1"/>
    <x v="15"/>
    <x v="1"/>
  </r>
  <r>
    <s v="Б.3.1"/>
    <s v="Непроизводственного назначения"/>
    <s v="Объемно-планировочные и архитектурные решения"/>
    <x v="2"/>
    <x v="3"/>
    <x v="0"/>
    <s v="Местоположение"/>
    <n v="7"/>
    <x v="4"/>
    <x v="10"/>
    <x v="10"/>
    <x v="0"/>
    <x v="0"/>
    <x v="9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Местоположение"/>
    <n v="8"/>
    <x v="4"/>
    <x v="11"/>
    <x v="11"/>
    <x v="0"/>
    <x v="0"/>
    <x v="10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Идентификация"/>
    <n v="9"/>
    <x v="5"/>
    <x v="15"/>
    <x v="15"/>
    <x v="0"/>
    <x v="0"/>
    <x v="22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Материалы АГР"/>
    <n v="10"/>
    <x v="1"/>
    <x v="19"/>
    <x v="19"/>
    <x v="2"/>
    <x v="0"/>
    <x v="20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Материалы АГР"/>
    <n v="11"/>
    <x v="1"/>
    <x v="20"/>
    <x v="20"/>
    <x v="2"/>
    <x v="0"/>
    <x v="20"/>
    <x v="0"/>
  </r>
  <r>
    <s v="Б.3.1"/>
    <s v="Непроизводственного назначения"/>
    <s v="Объемно-планировочные и архитектурные решения"/>
    <x v="2"/>
    <x v="3"/>
    <x v="0"/>
    <s v="Материалы АГР"/>
    <n v="12"/>
    <x v="1"/>
    <x v="22"/>
    <x v="22"/>
    <x v="2"/>
    <x v="0"/>
    <x v="20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Общие данные"/>
    <n v="1"/>
    <x v="2"/>
    <x v="12"/>
    <x v="12"/>
    <x v="0"/>
    <x v="0"/>
    <x v="23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Общие данные"/>
    <n v="2"/>
    <x v="2"/>
    <x v="4"/>
    <x v="4"/>
    <x v="0"/>
    <x v="0"/>
    <x v="24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Общие данные"/>
    <n v="3"/>
    <x v="2"/>
    <x v="13"/>
    <x v="13"/>
    <x v="0"/>
    <x v="0"/>
    <x v="24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Количественные параметры"/>
    <n v="4"/>
    <x v="3"/>
    <x v="7"/>
    <x v="7"/>
    <x v="1"/>
    <x v="2"/>
    <x v="13"/>
    <x v="1"/>
  </r>
  <r>
    <s v="Б.3.2"/>
    <s v="Непроизводственного назначения"/>
    <s v="Объемно-планировочные и архитектурные решения"/>
    <x v="2"/>
    <x v="4"/>
    <x v="3"/>
    <s v="Количественные параметры"/>
    <n v="5"/>
    <x v="3"/>
    <x v="14"/>
    <x v="14"/>
    <x v="1"/>
    <x v="3"/>
    <x v="14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Количественные параметры"/>
    <n v="6"/>
    <x v="3"/>
    <x v="6"/>
    <x v="6"/>
    <x v="1"/>
    <x v="1"/>
    <x v="15"/>
    <x v="1"/>
  </r>
  <r>
    <s v="Б.3.2"/>
    <s v="Непроизводственного назначения"/>
    <s v="Объемно-планировочные и архитектурные решения"/>
    <x v="2"/>
    <x v="4"/>
    <x v="3"/>
    <s v="Местоположение"/>
    <n v="7"/>
    <x v="4"/>
    <x v="10"/>
    <x v="10"/>
    <x v="0"/>
    <x v="0"/>
    <x v="9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Местоположение"/>
    <n v="8"/>
    <x v="4"/>
    <x v="11"/>
    <x v="11"/>
    <x v="0"/>
    <x v="0"/>
    <x v="10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Идентификация"/>
    <n v="9"/>
    <x v="5"/>
    <x v="15"/>
    <x v="15"/>
    <x v="0"/>
    <x v="0"/>
    <x v="24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Материалы АГР"/>
    <n v="10"/>
    <x v="1"/>
    <x v="19"/>
    <x v="19"/>
    <x v="2"/>
    <x v="0"/>
    <x v="20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Материалы АГР"/>
    <n v="11"/>
    <x v="1"/>
    <x v="20"/>
    <x v="20"/>
    <x v="2"/>
    <x v="0"/>
    <x v="20"/>
    <x v="0"/>
  </r>
  <r>
    <s v="Б.3.2"/>
    <s v="Непроизводственного назначения"/>
    <s v="Объемно-планировочные и архитектурные решения"/>
    <x v="2"/>
    <x v="4"/>
    <x v="3"/>
    <s v="Материалы АГР"/>
    <n v="12"/>
    <x v="1"/>
    <x v="22"/>
    <x v="22"/>
    <x v="2"/>
    <x v="0"/>
    <x v="20"/>
    <x v="0"/>
  </r>
  <r>
    <s v="Б.4"/>
    <s v="Непроизводственного назначения"/>
    <s v="Объемно-планировочные и архитектурные решения"/>
    <x v="3"/>
    <x v="5"/>
    <x v="4"/>
    <s v="Общие данные"/>
    <n v="1"/>
    <x v="2"/>
    <x v="3"/>
    <x v="3"/>
    <x v="0"/>
    <x v="0"/>
    <x v="25"/>
    <x v="0"/>
  </r>
  <r>
    <s v="Б.4"/>
    <s v="Непроизводственного назначения"/>
    <s v="Объемно-планировочные и архитектурные решения"/>
    <x v="3"/>
    <x v="5"/>
    <x v="4"/>
    <s v="Общие данные"/>
    <n v="2"/>
    <x v="2"/>
    <x v="4"/>
    <x v="4"/>
    <x v="0"/>
    <x v="0"/>
    <x v="26"/>
    <x v="0"/>
  </r>
  <r>
    <s v="Б.4"/>
    <s v="Непроизводственного назначения"/>
    <s v="Объемно-планировочные и архитектурные решения"/>
    <x v="3"/>
    <x v="5"/>
    <x v="4"/>
    <s v="Общие данные"/>
    <n v="3"/>
    <x v="2"/>
    <x v="5"/>
    <x v="5"/>
    <x v="0"/>
    <x v="0"/>
    <x v="26"/>
    <x v="0"/>
  </r>
  <r>
    <s v="Б.4"/>
    <s v="Непроизводственного назначения"/>
    <s v="Объемно-планировочные и архитектурные решения"/>
    <x v="3"/>
    <x v="5"/>
    <x v="4"/>
    <s v="Количественные параметры"/>
    <n v="4"/>
    <x v="3"/>
    <x v="9"/>
    <x v="9"/>
    <x v="1"/>
    <x v="2"/>
    <x v="27"/>
    <x v="0"/>
  </r>
  <r>
    <s v="Б.4"/>
    <s v="Непроизводственного назначения"/>
    <s v="Объемно-планировочные и архитектурные решения"/>
    <x v="3"/>
    <x v="5"/>
    <x v="4"/>
    <s v="Количественные параметры"/>
    <n v="5"/>
    <x v="3"/>
    <x v="23"/>
    <x v="23"/>
    <x v="1"/>
    <x v="2"/>
    <x v="28"/>
    <x v="1"/>
  </r>
  <r>
    <s v="Б.4"/>
    <s v="Непроизводственного назначения"/>
    <s v="Объемно-планировочные и архитектурные решения"/>
    <x v="3"/>
    <x v="5"/>
    <x v="4"/>
    <s v="Количественные параметры"/>
    <n v="6"/>
    <x v="3"/>
    <x v="7"/>
    <x v="7"/>
    <x v="1"/>
    <x v="2"/>
    <x v="13"/>
    <x v="0"/>
  </r>
  <r>
    <s v="Б.4"/>
    <s v="Непроизводственного назначения"/>
    <s v="Объемно-планировочные и архитектурные решения"/>
    <x v="3"/>
    <x v="5"/>
    <x v="4"/>
    <s v="Количественные параметры"/>
    <n v="7"/>
    <x v="3"/>
    <x v="6"/>
    <x v="6"/>
    <x v="1"/>
    <x v="1"/>
    <x v="29"/>
    <x v="0"/>
  </r>
  <r>
    <s v="Б.4"/>
    <s v="Непроизводственного назначения"/>
    <s v="Объемно-планировочные и архитектурные решения"/>
    <x v="3"/>
    <x v="5"/>
    <x v="4"/>
    <s v="Местоположение"/>
    <n v="8"/>
    <x v="4"/>
    <x v="10"/>
    <x v="10"/>
    <x v="0"/>
    <x v="0"/>
    <x v="9"/>
    <x v="0"/>
  </r>
  <r>
    <s v="Б.4"/>
    <s v="Непроизводственного назначения"/>
    <s v="Объемно-планировочные и архитектурные решения"/>
    <x v="3"/>
    <x v="5"/>
    <x v="4"/>
    <s v="Местоположение"/>
    <n v="9"/>
    <x v="4"/>
    <x v="11"/>
    <x v="11"/>
    <x v="0"/>
    <x v="0"/>
    <x v="10"/>
    <x v="0"/>
  </r>
  <r>
    <s v="Б.5"/>
    <s v="Непроизводственного назначения"/>
    <s v="Объемно-планировочные и архитектурные решения"/>
    <x v="4"/>
    <x v="6"/>
    <x v="5"/>
    <s v="Общие данные"/>
    <n v="1"/>
    <x v="2"/>
    <x v="3"/>
    <x v="3"/>
    <x v="0"/>
    <x v="0"/>
    <x v="30"/>
    <x v="0"/>
  </r>
  <r>
    <s v="Б.5"/>
    <s v="Непроизводственного назначения"/>
    <s v="Объемно-планировочные и архитектурные решения"/>
    <x v="4"/>
    <x v="6"/>
    <x v="5"/>
    <s v="Общие данные"/>
    <n v="2"/>
    <x v="2"/>
    <x v="4"/>
    <x v="4"/>
    <x v="0"/>
    <x v="0"/>
    <x v="31"/>
    <x v="0"/>
  </r>
  <r>
    <s v="Б.5"/>
    <s v="Непроизводственного назначения"/>
    <s v="Объемно-планировочные и архитектурные решения"/>
    <x v="4"/>
    <x v="6"/>
    <x v="5"/>
    <s v="Общие данные"/>
    <n v="3"/>
    <x v="2"/>
    <x v="5"/>
    <x v="5"/>
    <x v="0"/>
    <x v="0"/>
    <x v="31"/>
    <x v="0"/>
  </r>
  <r>
    <s v="Б.5"/>
    <s v="Непроизводственного назначения"/>
    <s v="Объемно-планировочные и архитектурные решения"/>
    <x v="4"/>
    <x v="6"/>
    <x v="5"/>
    <s v="Количественные параметры"/>
    <n v="4"/>
    <x v="3"/>
    <x v="9"/>
    <x v="9"/>
    <x v="1"/>
    <x v="2"/>
    <x v="27"/>
    <x v="1"/>
  </r>
  <r>
    <s v="Б.5"/>
    <s v="Непроизводственного назначения"/>
    <s v="Объемно-планировочные и архитектурные решения"/>
    <x v="4"/>
    <x v="6"/>
    <x v="5"/>
    <s v="Количественные параметры"/>
    <n v="5"/>
    <x v="3"/>
    <x v="8"/>
    <x v="8"/>
    <x v="1"/>
    <x v="2"/>
    <x v="28"/>
    <x v="0"/>
  </r>
  <r>
    <s v="Б.5"/>
    <s v="Непроизводственного назначения"/>
    <s v="Объемно-планировочные и архитектурные решения"/>
    <x v="4"/>
    <x v="6"/>
    <x v="5"/>
    <s v="Количественные параметры"/>
    <n v="6"/>
    <x v="3"/>
    <x v="7"/>
    <x v="7"/>
    <x v="1"/>
    <x v="2"/>
    <x v="32"/>
    <x v="0"/>
  </r>
  <r>
    <s v="Б.5"/>
    <s v="Непроизводственного назначения"/>
    <s v="Объемно-планировочные и архитектурные решения"/>
    <x v="4"/>
    <x v="6"/>
    <x v="5"/>
    <s v="Количественные параметры"/>
    <n v="7"/>
    <x v="3"/>
    <x v="24"/>
    <x v="24"/>
    <x v="1"/>
    <x v="2"/>
    <x v="7"/>
    <x v="0"/>
  </r>
  <r>
    <s v="Б.5"/>
    <s v="Непроизводственного назначения"/>
    <s v="Объемно-планировочные и архитектурные решения"/>
    <x v="4"/>
    <x v="6"/>
    <x v="5"/>
    <s v="Количественные параметры"/>
    <n v="8"/>
    <x v="3"/>
    <x v="6"/>
    <x v="6"/>
    <x v="1"/>
    <x v="1"/>
    <x v="29"/>
    <x v="1"/>
  </r>
  <r>
    <s v="Б.5"/>
    <s v="Непроизводственного назначения"/>
    <s v="Объемно-планировочные и архитектурные решения"/>
    <x v="4"/>
    <x v="6"/>
    <x v="5"/>
    <s v="Местоположение"/>
    <n v="9"/>
    <x v="4"/>
    <x v="10"/>
    <x v="10"/>
    <x v="0"/>
    <x v="0"/>
    <x v="9"/>
    <x v="0"/>
  </r>
  <r>
    <s v="Б.5"/>
    <s v="Непроизводственного назначения"/>
    <s v="Объемно-планировочные и архитектурные решения"/>
    <x v="4"/>
    <x v="6"/>
    <x v="5"/>
    <s v="Местоположение"/>
    <n v="10"/>
    <x v="4"/>
    <x v="11"/>
    <x v="11"/>
    <x v="0"/>
    <x v="0"/>
    <x v="10"/>
    <x v="0"/>
  </r>
  <r>
    <s v="Б.6"/>
    <s v="Непроизводственного назначения"/>
    <s v="Объемно-планировочные и архитектурные решения"/>
    <x v="5"/>
    <x v="7"/>
    <x v="6"/>
    <s v="Общие данные"/>
    <n v="1"/>
    <x v="2"/>
    <x v="3"/>
    <x v="3"/>
    <x v="0"/>
    <x v="0"/>
    <x v="33"/>
    <x v="0"/>
  </r>
  <r>
    <s v="Б.6"/>
    <s v="Непроизводственного назначения"/>
    <s v="Объемно-планировочные и архитектурные решения"/>
    <x v="5"/>
    <x v="7"/>
    <x v="6"/>
    <s v="Общие данные"/>
    <n v="2"/>
    <x v="2"/>
    <x v="4"/>
    <x v="4"/>
    <x v="0"/>
    <x v="0"/>
    <x v="34"/>
    <x v="0"/>
  </r>
  <r>
    <s v="Б.6"/>
    <s v="Непроизводственного назначения"/>
    <s v="Объемно-планировочные и архитектурные решения"/>
    <x v="5"/>
    <x v="7"/>
    <x v="6"/>
    <s v="Общие данные"/>
    <n v="3"/>
    <x v="2"/>
    <x v="5"/>
    <x v="5"/>
    <x v="0"/>
    <x v="0"/>
    <x v="35"/>
    <x v="0"/>
  </r>
  <r>
    <s v="Б.6"/>
    <s v="Непроизводственного назначения"/>
    <s v="Объемно-планировочные и архитектурные решения"/>
    <x v="5"/>
    <x v="7"/>
    <x v="6"/>
    <s v="Количественные параметры"/>
    <n v="4"/>
    <x v="3"/>
    <x v="8"/>
    <x v="8"/>
    <x v="1"/>
    <x v="2"/>
    <x v="27"/>
    <x v="1"/>
  </r>
  <r>
    <s v="Б.6"/>
    <s v="Непроизводственного назначения"/>
    <s v="Объемно-планировочные и архитектурные решения"/>
    <x v="5"/>
    <x v="7"/>
    <x v="6"/>
    <s v="Количественные параметры"/>
    <n v="5"/>
    <x v="3"/>
    <x v="7"/>
    <x v="7"/>
    <x v="1"/>
    <x v="2"/>
    <x v="13"/>
    <x v="1"/>
  </r>
  <r>
    <s v="Б.6"/>
    <s v="Непроизводственного назначения"/>
    <s v="Объемно-планировочные и архитектурные решения"/>
    <x v="5"/>
    <x v="7"/>
    <x v="6"/>
    <s v="Местоположение"/>
    <n v="6"/>
    <x v="4"/>
    <x v="10"/>
    <x v="10"/>
    <x v="0"/>
    <x v="0"/>
    <x v="9"/>
    <x v="0"/>
  </r>
  <r>
    <s v="Б.6"/>
    <s v="Непроизводственного назначения"/>
    <s v="Объемно-планировочные и архитектурные решения"/>
    <x v="5"/>
    <x v="7"/>
    <x v="6"/>
    <s v="Местоположение"/>
    <n v="7"/>
    <x v="4"/>
    <x v="11"/>
    <x v="11"/>
    <x v="0"/>
    <x v="0"/>
    <x v="10"/>
    <x v="0"/>
  </r>
  <r>
    <s v="Б.7"/>
    <s v="Непроизводственного назначения"/>
    <s v="Объемно-планировочные и архитектурные решения"/>
    <x v="6"/>
    <x v="8"/>
    <x v="7"/>
    <s v="Общие данные"/>
    <n v="1"/>
    <x v="2"/>
    <x v="3"/>
    <x v="3"/>
    <x v="0"/>
    <x v="0"/>
    <x v="36"/>
    <x v="0"/>
  </r>
  <r>
    <s v="Б.7"/>
    <s v="Непроизводственного назначения"/>
    <s v="Объемно-планировочные и архитектурные решения"/>
    <x v="6"/>
    <x v="8"/>
    <x v="7"/>
    <s v="Общие данные"/>
    <n v="2"/>
    <x v="2"/>
    <x v="4"/>
    <x v="4"/>
    <x v="0"/>
    <x v="0"/>
    <x v="37"/>
    <x v="0"/>
  </r>
  <r>
    <s v="Б.7"/>
    <s v="Непроизводственного назначения"/>
    <s v="Объемно-планировочные и архитектурные решения"/>
    <x v="6"/>
    <x v="8"/>
    <x v="7"/>
    <s v="Общие данные"/>
    <n v="3"/>
    <x v="2"/>
    <x v="5"/>
    <x v="5"/>
    <x v="0"/>
    <x v="0"/>
    <x v="38"/>
    <x v="0"/>
  </r>
  <r>
    <s v="Б.7"/>
    <s v="Непроизводственного назначения"/>
    <s v="Объемно-планировочные и архитектурные решения"/>
    <x v="6"/>
    <x v="8"/>
    <x v="7"/>
    <s v="Количественные параметры"/>
    <n v="4"/>
    <x v="3"/>
    <x v="25"/>
    <x v="25"/>
    <x v="1"/>
    <x v="4"/>
    <x v="39"/>
    <x v="0"/>
  </r>
  <r>
    <s v="Б.7"/>
    <s v="Непроизводственного назначения"/>
    <s v="Объемно-планировочные и архитектурные решения"/>
    <x v="6"/>
    <x v="8"/>
    <x v="7"/>
    <s v="Количественные параметры"/>
    <n v="5"/>
    <x v="3"/>
    <x v="8"/>
    <x v="8"/>
    <x v="1"/>
    <x v="2"/>
    <x v="27"/>
    <x v="1"/>
  </r>
  <r>
    <s v="Б.7"/>
    <s v="Непроизводственного назначения"/>
    <s v="Объемно-планировочные и архитектурные решения"/>
    <x v="6"/>
    <x v="8"/>
    <x v="7"/>
    <s v="Количественные параметры"/>
    <n v="6"/>
    <x v="3"/>
    <x v="7"/>
    <x v="7"/>
    <x v="1"/>
    <x v="2"/>
    <x v="13"/>
    <x v="1"/>
  </r>
  <r>
    <s v="Б.7"/>
    <s v="Непроизводственного назначения"/>
    <s v="Объемно-планировочные и архитектурные решения"/>
    <x v="6"/>
    <x v="8"/>
    <x v="7"/>
    <s v="Местоположение"/>
    <n v="7"/>
    <x v="4"/>
    <x v="10"/>
    <x v="10"/>
    <x v="0"/>
    <x v="0"/>
    <x v="9"/>
    <x v="0"/>
  </r>
  <r>
    <s v="Б.7"/>
    <s v="Непроизводственного назначения"/>
    <s v="Объемно-планировочные и архитектурные решения"/>
    <x v="6"/>
    <x v="8"/>
    <x v="7"/>
    <s v="Местоположение"/>
    <n v="8"/>
    <x v="4"/>
    <x v="11"/>
    <x v="11"/>
    <x v="0"/>
    <x v="0"/>
    <x v="10"/>
    <x v="0"/>
  </r>
  <r>
    <s v="Б.8"/>
    <s v="Непроизводственного назначения"/>
    <s v="Объемно-планировочные и архитектурные решения"/>
    <x v="7"/>
    <x v="9"/>
    <x v="8"/>
    <s v="Общие данные"/>
    <n v="1"/>
    <x v="2"/>
    <x v="3"/>
    <x v="3"/>
    <x v="0"/>
    <x v="0"/>
    <x v="40"/>
    <x v="0"/>
  </r>
  <r>
    <s v="Б.8"/>
    <s v="Непроизводственного назначения"/>
    <s v="Объемно-планировочные и архитектурные решения"/>
    <x v="7"/>
    <x v="9"/>
    <x v="8"/>
    <s v="Общие данные"/>
    <n v="2"/>
    <x v="2"/>
    <x v="4"/>
    <x v="4"/>
    <x v="0"/>
    <x v="0"/>
    <x v="41"/>
    <x v="0"/>
  </r>
  <r>
    <s v="Б.8"/>
    <s v="Непроизводственного назначения"/>
    <s v="Объемно-планировочные и архитектурные решения"/>
    <x v="7"/>
    <x v="9"/>
    <x v="8"/>
    <s v="Общие данные"/>
    <n v="3"/>
    <x v="2"/>
    <x v="5"/>
    <x v="5"/>
    <x v="0"/>
    <x v="0"/>
    <x v="42"/>
    <x v="0"/>
  </r>
  <r>
    <s v="Б.8"/>
    <s v="Непроизводственного назначения"/>
    <s v="Объемно-планировочные и архитектурные решения"/>
    <x v="7"/>
    <x v="9"/>
    <x v="8"/>
    <s v="Количественные параметры"/>
    <n v="4"/>
    <x v="3"/>
    <x v="23"/>
    <x v="23"/>
    <x v="1"/>
    <x v="2"/>
    <x v="28"/>
    <x v="0"/>
  </r>
  <r>
    <s v="Б.8"/>
    <s v="Непроизводственного назначения"/>
    <s v="Объемно-планировочные и архитектурные решения"/>
    <x v="7"/>
    <x v="9"/>
    <x v="8"/>
    <s v="Количественные параметры"/>
    <n v="5"/>
    <x v="3"/>
    <x v="9"/>
    <x v="9"/>
    <x v="1"/>
    <x v="2"/>
    <x v="43"/>
    <x v="1"/>
  </r>
  <r>
    <s v="Б.8"/>
    <s v="Непроизводственного назначения"/>
    <s v="Объемно-планировочные и архитектурные решения"/>
    <x v="7"/>
    <x v="9"/>
    <x v="8"/>
    <s v="Количественные параметры"/>
    <n v="6"/>
    <x v="3"/>
    <x v="6"/>
    <x v="6"/>
    <x v="1"/>
    <x v="1"/>
    <x v="39"/>
    <x v="1"/>
  </r>
  <r>
    <s v="Б.8"/>
    <s v="Непроизводственного назначения"/>
    <s v="Объемно-планировочные и архитектурные решения"/>
    <x v="7"/>
    <x v="9"/>
    <x v="8"/>
    <s v="Количественные параметры"/>
    <n v="7"/>
    <x v="3"/>
    <x v="8"/>
    <x v="8"/>
    <x v="1"/>
    <x v="2"/>
    <x v="44"/>
    <x v="1"/>
  </r>
  <r>
    <s v="Б.8"/>
    <s v="Непроизводственного назначения"/>
    <s v="Объемно-планировочные и архитектурные решения"/>
    <x v="7"/>
    <x v="9"/>
    <x v="8"/>
    <s v="Местоположение"/>
    <n v="8"/>
    <x v="4"/>
    <x v="10"/>
    <x v="10"/>
    <x v="0"/>
    <x v="0"/>
    <x v="9"/>
    <x v="0"/>
  </r>
  <r>
    <s v="Б.8"/>
    <s v="Непроизводственного назначения"/>
    <s v="Объемно-планировочные и архитектурные решения"/>
    <x v="7"/>
    <x v="9"/>
    <x v="8"/>
    <s v="Местоположение"/>
    <n v="9"/>
    <x v="4"/>
    <x v="11"/>
    <x v="11"/>
    <x v="0"/>
    <x v="0"/>
    <x v="10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Общие данные"/>
    <n v="1"/>
    <x v="2"/>
    <x v="3"/>
    <x v="3"/>
    <x v="0"/>
    <x v="0"/>
    <x v="45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Общие данные"/>
    <n v="2"/>
    <x v="2"/>
    <x v="26"/>
    <x v="26"/>
    <x v="0"/>
    <x v="0"/>
    <x v="46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Общие данные"/>
    <n v="3"/>
    <x v="2"/>
    <x v="4"/>
    <x v="4"/>
    <x v="0"/>
    <x v="0"/>
    <x v="47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Общие данные"/>
    <n v="4"/>
    <x v="2"/>
    <x v="5"/>
    <x v="5"/>
    <x v="0"/>
    <x v="0"/>
    <x v="47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Общие данные"/>
    <n v="5"/>
    <x v="2"/>
    <x v="27"/>
    <x v="27"/>
    <x v="0"/>
    <x v="0"/>
    <x v="48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Количественные параметры"/>
    <n v="6"/>
    <x v="3"/>
    <x v="8"/>
    <x v="8"/>
    <x v="1"/>
    <x v="2"/>
    <x v="49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Количественные параметры"/>
    <n v="7"/>
    <x v="3"/>
    <x v="7"/>
    <x v="7"/>
    <x v="1"/>
    <x v="2"/>
    <x v="27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Количественные параметры"/>
    <n v="8"/>
    <x v="3"/>
    <x v="28"/>
    <x v="28"/>
    <x v="1"/>
    <x v="2"/>
    <x v="50"/>
    <x v="1"/>
  </r>
  <r>
    <s v="Б.9"/>
    <s v="Непроизводственного назначения"/>
    <s v="Объемно-планировочные и архитектурные решения"/>
    <x v="8"/>
    <x v="10"/>
    <x v="9"/>
    <s v="Количественные параметры"/>
    <n v="9"/>
    <x v="3"/>
    <x v="29"/>
    <x v="29"/>
    <x v="1"/>
    <x v="3"/>
    <x v="39"/>
    <x v="1"/>
  </r>
  <r>
    <s v="Б.9"/>
    <s v="Непроизводственного назначения"/>
    <s v="Объемно-планировочные и архитектурные решения"/>
    <x v="8"/>
    <x v="10"/>
    <x v="9"/>
    <s v="Местоположение"/>
    <n v="10"/>
    <x v="4"/>
    <x v="10"/>
    <x v="10"/>
    <x v="0"/>
    <x v="0"/>
    <x v="9"/>
    <x v="0"/>
  </r>
  <r>
    <s v="Б.9"/>
    <s v="Непроизводственного назначения"/>
    <s v="Объемно-планировочные и архитектурные решения"/>
    <x v="8"/>
    <x v="10"/>
    <x v="9"/>
    <s v="Местоположение"/>
    <n v="11"/>
    <x v="4"/>
    <x v="11"/>
    <x v="11"/>
    <x v="0"/>
    <x v="0"/>
    <x v="10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Общие данные"/>
    <n v="1"/>
    <x v="2"/>
    <x v="3"/>
    <x v="3"/>
    <x v="0"/>
    <x v="0"/>
    <x v="51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Общие данные"/>
    <n v="2"/>
    <x v="2"/>
    <x v="26"/>
    <x v="26"/>
    <x v="0"/>
    <x v="0"/>
    <x v="46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Общие данные"/>
    <n v="3"/>
    <x v="2"/>
    <x v="4"/>
    <x v="4"/>
    <x v="0"/>
    <x v="0"/>
    <x v="52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Общие данные"/>
    <n v="4"/>
    <x v="2"/>
    <x v="5"/>
    <x v="5"/>
    <x v="0"/>
    <x v="0"/>
    <x v="53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Общие данные"/>
    <n v="5"/>
    <x v="2"/>
    <x v="27"/>
    <x v="27"/>
    <x v="0"/>
    <x v="0"/>
    <x v="48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Количественные параметры"/>
    <n v="6"/>
    <x v="3"/>
    <x v="8"/>
    <x v="8"/>
    <x v="1"/>
    <x v="2"/>
    <x v="49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Количественные параметры"/>
    <n v="7"/>
    <x v="3"/>
    <x v="7"/>
    <x v="7"/>
    <x v="1"/>
    <x v="2"/>
    <x v="27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Местоположение"/>
    <n v="8"/>
    <x v="4"/>
    <x v="10"/>
    <x v="10"/>
    <x v="0"/>
    <x v="0"/>
    <x v="9"/>
    <x v="0"/>
  </r>
  <r>
    <s v="Б.10"/>
    <s v="Непроизводственного назначения"/>
    <s v="Объемно-планировочные и архитектурные решения"/>
    <x v="9"/>
    <x v="11"/>
    <x v="10"/>
    <s v="Местоположение"/>
    <n v="9"/>
    <x v="4"/>
    <x v="11"/>
    <x v="11"/>
    <x v="0"/>
    <x v="0"/>
    <x v="10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Общие данные"/>
    <n v="1"/>
    <x v="2"/>
    <x v="3"/>
    <x v="3"/>
    <x v="0"/>
    <x v="0"/>
    <x v="54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Общие данные"/>
    <n v="2"/>
    <x v="2"/>
    <x v="26"/>
    <x v="26"/>
    <x v="0"/>
    <x v="0"/>
    <x v="55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Общие данные"/>
    <n v="3"/>
    <x v="2"/>
    <x v="4"/>
    <x v="4"/>
    <x v="0"/>
    <x v="0"/>
    <x v="56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Общие данные"/>
    <n v="4"/>
    <x v="2"/>
    <x v="27"/>
    <x v="27"/>
    <x v="0"/>
    <x v="0"/>
    <x v="57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Общие данные"/>
    <n v="5"/>
    <x v="2"/>
    <x v="5"/>
    <x v="5"/>
    <x v="0"/>
    <x v="0"/>
    <x v="58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Количественные параметры"/>
    <n v="6"/>
    <x v="3"/>
    <x v="8"/>
    <x v="8"/>
    <x v="1"/>
    <x v="2"/>
    <x v="59"/>
    <x v="1"/>
  </r>
  <r>
    <s v="Б.11"/>
    <s v="Непроизводственного назначения"/>
    <s v="Объемно-планировочные и архитектурные решения"/>
    <x v="10"/>
    <x v="12"/>
    <x v="11"/>
    <s v="Количественные параметры"/>
    <n v="7"/>
    <x v="3"/>
    <x v="23"/>
    <x v="23"/>
    <x v="1"/>
    <x v="2"/>
    <x v="28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Количественные параметры"/>
    <n v="8"/>
    <x v="3"/>
    <x v="7"/>
    <x v="7"/>
    <x v="1"/>
    <x v="2"/>
    <x v="60"/>
    <x v="1"/>
  </r>
  <r>
    <s v="Б.11"/>
    <s v="Непроизводственного назначения"/>
    <s v="Объемно-планировочные и архитектурные решения"/>
    <x v="10"/>
    <x v="12"/>
    <x v="11"/>
    <s v="Количественные параметры"/>
    <n v="9"/>
    <x v="3"/>
    <x v="14"/>
    <x v="14"/>
    <x v="1"/>
    <x v="3"/>
    <x v="61"/>
    <x v="1"/>
  </r>
  <r>
    <s v="Б.11"/>
    <s v="Непроизводственного назначения"/>
    <s v="Объемно-планировочные и архитектурные решения"/>
    <x v="10"/>
    <x v="12"/>
    <x v="11"/>
    <s v="Местоположение"/>
    <n v="10"/>
    <x v="4"/>
    <x v="10"/>
    <x v="10"/>
    <x v="0"/>
    <x v="0"/>
    <x v="9"/>
    <x v="0"/>
  </r>
  <r>
    <s v="Б.11"/>
    <s v="Непроизводственного назначения"/>
    <s v="Объемно-планировочные и архитектурные решения"/>
    <x v="10"/>
    <x v="12"/>
    <x v="11"/>
    <s v="Местоположение"/>
    <n v="11"/>
    <x v="4"/>
    <x v="11"/>
    <x v="11"/>
    <x v="0"/>
    <x v="0"/>
    <x v="10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Общие данные"/>
    <n v="1"/>
    <x v="2"/>
    <x v="3"/>
    <x v="3"/>
    <x v="0"/>
    <x v="0"/>
    <x v="62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Общие данные"/>
    <n v="2"/>
    <x v="2"/>
    <x v="26"/>
    <x v="26"/>
    <x v="0"/>
    <x v="0"/>
    <x v="63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Общие данные"/>
    <n v="3"/>
    <x v="2"/>
    <x v="4"/>
    <x v="4"/>
    <x v="0"/>
    <x v="0"/>
    <x v="64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Общие данные"/>
    <n v="4"/>
    <x v="2"/>
    <x v="27"/>
    <x v="27"/>
    <x v="0"/>
    <x v="0"/>
    <x v="65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Количественные параметры"/>
    <n v="5"/>
    <x v="3"/>
    <x v="9"/>
    <x v="9"/>
    <x v="1"/>
    <x v="2"/>
    <x v="49"/>
    <x v="1"/>
  </r>
  <r>
    <s v="Б.12"/>
    <s v="Непроизводственного назначения"/>
    <s v="Объемно-планировочные и архитектурные решения"/>
    <x v="11"/>
    <x v="13"/>
    <x v="12"/>
    <s v="Количественные параметры"/>
    <n v="6"/>
    <x v="3"/>
    <x v="30"/>
    <x v="30"/>
    <x v="1"/>
    <x v="5"/>
    <x v="66"/>
    <x v="1"/>
  </r>
  <r>
    <s v="Б.12"/>
    <s v="Непроизводственного назначения"/>
    <s v="Объемно-планировочные и архитектурные решения"/>
    <x v="11"/>
    <x v="13"/>
    <x v="12"/>
    <s v="Местоположение"/>
    <n v="7"/>
    <x v="4"/>
    <x v="10"/>
    <x v="10"/>
    <x v="0"/>
    <x v="0"/>
    <x v="9"/>
    <x v="0"/>
  </r>
  <r>
    <s v="Б.12"/>
    <s v="Непроизводственного назначения"/>
    <s v="Объемно-планировочные и архитектурные решения"/>
    <x v="11"/>
    <x v="13"/>
    <x v="12"/>
    <s v="Местоположение"/>
    <n v="8"/>
    <x v="4"/>
    <x v="11"/>
    <x v="11"/>
    <x v="0"/>
    <x v="0"/>
    <x v="10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Общие данные"/>
    <n v="1"/>
    <x v="2"/>
    <x v="3"/>
    <x v="3"/>
    <x v="0"/>
    <x v="0"/>
    <x v="67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Общие данные"/>
    <n v="2"/>
    <x v="2"/>
    <x v="26"/>
    <x v="26"/>
    <x v="0"/>
    <x v="0"/>
    <x v="63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Общие данные"/>
    <n v="3"/>
    <x v="2"/>
    <x v="4"/>
    <x v="4"/>
    <x v="0"/>
    <x v="0"/>
    <x v="68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Общие данные"/>
    <n v="4"/>
    <x v="2"/>
    <x v="27"/>
    <x v="27"/>
    <x v="0"/>
    <x v="0"/>
    <x v="65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Общие данные"/>
    <n v="5"/>
    <x v="2"/>
    <x v="5"/>
    <x v="5"/>
    <x v="0"/>
    <x v="0"/>
    <x v="69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Количественные параметры"/>
    <n v="6"/>
    <x v="3"/>
    <x v="8"/>
    <x v="8"/>
    <x v="1"/>
    <x v="2"/>
    <x v="59"/>
    <x v="1"/>
  </r>
  <r>
    <s v="Б.13"/>
    <s v="Непроизводственного назначения"/>
    <s v="Объемно-планировочные и архитектурные решения"/>
    <x v="12"/>
    <x v="14"/>
    <x v="0"/>
    <s v="Количественные параметры"/>
    <n v="7"/>
    <x v="3"/>
    <x v="23"/>
    <x v="23"/>
    <x v="1"/>
    <x v="2"/>
    <x v="28"/>
    <x v="1"/>
  </r>
  <r>
    <s v="Б.13"/>
    <s v="Непроизводственного назначения"/>
    <s v="Объемно-планировочные и архитектурные решения"/>
    <x v="12"/>
    <x v="14"/>
    <x v="0"/>
    <s v="Количественные параметры"/>
    <n v="8"/>
    <x v="3"/>
    <x v="7"/>
    <x v="7"/>
    <x v="1"/>
    <x v="2"/>
    <x v="60"/>
    <x v="1"/>
  </r>
  <r>
    <s v="Б.13"/>
    <s v="Непроизводственного назначения"/>
    <s v="Объемно-планировочные и архитектурные решения"/>
    <x v="12"/>
    <x v="14"/>
    <x v="0"/>
    <s v="Количественные параметры"/>
    <n v="9"/>
    <x v="3"/>
    <x v="14"/>
    <x v="14"/>
    <x v="1"/>
    <x v="3"/>
    <x v="61"/>
    <x v="1"/>
  </r>
  <r>
    <s v="Б.13"/>
    <s v="Непроизводственного назначения"/>
    <s v="Объемно-планировочные и архитектурные решения"/>
    <x v="12"/>
    <x v="14"/>
    <x v="0"/>
    <s v="Местоположение"/>
    <n v="10"/>
    <x v="4"/>
    <x v="10"/>
    <x v="10"/>
    <x v="0"/>
    <x v="0"/>
    <x v="9"/>
    <x v="0"/>
  </r>
  <r>
    <s v="Б.13"/>
    <s v="Непроизводственного назначения"/>
    <s v="Объемно-планировочные и архитектурные решения"/>
    <x v="12"/>
    <x v="14"/>
    <x v="0"/>
    <s v="Местоположение"/>
    <n v="11"/>
    <x v="4"/>
    <x v="11"/>
    <x v="11"/>
    <x v="0"/>
    <x v="0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B0D1D-98A5-411E-A223-9F306474223C}" name="Сводная таблица2" cacheId="0" applyNumberFormats="0" applyBorderFormats="0" applyFontFormats="0" applyPatternFormats="0" applyAlignmentFormats="0" applyWidthHeightFormats="1" dataCaption="Значения" showMissing="0" updatedVersion="7" minRefreshableVersion="3" showDrill="0" rowGrandTotals="0" colGrandTotals="0" itemPrintTitles="1" createdVersion="7" indent="0" compact="0" compactData="0" multipleFieldFilters="0">
  <location ref="A3:G130" firstHeaderRow="1" firstDataRow="1" firstDataCol="7" rowPageCount="1" colPageCount="1"/>
  <pivotFields count="15">
    <pivotField compact="0" outline="0" showAll="0"/>
    <pivotField compact="0" outline="0" showAll="0"/>
    <pivotField compact="0" outline="0" showAll="0"/>
    <pivotField axis="axisRow" compact="0" outline="0" showAll="0" insertBlankRow="1" defaultSubtotal="0">
      <items count="13">
        <item x="0"/>
        <item x="1"/>
        <item x="4"/>
        <item x="10"/>
        <item x="9"/>
        <item x="11"/>
        <item x="12"/>
        <item x="6"/>
        <item x="7"/>
        <item x="2"/>
        <item x="5"/>
        <item x="3"/>
        <item x="8"/>
      </items>
    </pivotField>
    <pivotField axis="axisRow" compact="0" outline="0" showAll="0" defaultSubtotal="0">
      <items count="15">
        <item x="1"/>
        <item x="11"/>
        <item x="4"/>
        <item x="3"/>
        <item x="13"/>
        <item x="6"/>
        <item x="7"/>
        <item x="0"/>
        <item x="10"/>
        <item x="8"/>
        <item x="14"/>
        <item x="9"/>
        <item x="2"/>
        <item x="5"/>
        <item x="12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6">
        <item x="1"/>
        <item x="2"/>
        <item x="5"/>
        <item x="4"/>
        <item x="0"/>
        <item x="3"/>
      </items>
    </pivotField>
    <pivotField axis="axisRow" compact="0" outline="0" showAll="0" defaultSubtotal="0">
      <items count="31">
        <item x="1"/>
        <item x="7"/>
        <item x="28"/>
        <item x="16"/>
        <item x="24"/>
        <item x="9"/>
        <item x="22"/>
        <item x="15"/>
        <item x="26"/>
        <item x="12"/>
        <item x="3"/>
        <item x="30"/>
        <item x="4"/>
        <item x="27"/>
        <item x="13"/>
        <item x="0"/>
        <item x="5"/>
        <item x="17"/>
        <item x="10"/>
        <item x="11"/>
        <item x="18"/>
        <item x="6"/>
        <item x="20"/>
        <item x="14"/>
        <item x="29"/>
        <item x="19"/>
        <item x="21"/>
        <item x="23"/>
        <item x="25"/>
        <item x="2"/>
        <item x="8"/>
      </items>
    </pivotField>
    <pivotField axis="axisRow" compact="0" outline="0" showAll="0" sortType="ascending" defaultSubtotal="0">
      <items count="31">
        <item x="14"/>
        <item x="19"/>
        <item x="1"/>
        <item x="24"/>
        <item x="2"/>
        <item x="29"/>
        <item x="20"/>
        <item x="17"/>
        <item x="16"/>
        <item x="7"/>
        <item x="9"/>
        <item x="3"/>
        <item x="5"/>
        <item sd="0" x="26"/>
        <item sd="0" x="27"/>
        <item x="12"/>
        <item x="13"/>
        <item x="4"/>
        <item x="18"/>
        <item x="10"/>
        <item x="11"/>
        <item x="0"/>
        <item x="22"/>
        <item x="28"/>
        <item x="25"/>
        <item x="21"/>
        <item x="23"/>
        <item x="6"/>
        <item x="30"/>
        <item x="8"/>
        <item x="15"/>
      </items>
    </pivotField>
    <pivotField axis="axisRow" compact="0" outline="0" showAll="0" defaultSubtotal="0">
      <items count="3">
        <item x="2"/>
        <item x="1"/>
        <item x="0"/>
      </items>
    </pivotField>
    <pivotField compact="0" outline="0" showAll="0"/>
    <pivotField axis="axisRow" compact="0" outline="0" showAll="0" defaultSubtotal="0">
      <items count="70">
        <item x="19"/>
        <item x="66"/>
        <item x="61"/>
        <item x="18"/>
        <item x="8"/>
        <item x="39"/>
        <item x="6"/>
        <item x="14"/>
        <item x="15"/>
        <item x="59"/>
        <item x="28"/>
        <item x="7"/>
        <item x="32"/>
        <item x="50"/>
        <item x="49"/>
        <item x="27"/>
        <item x="60"/>
        <item x="13"/>
        <item x="44"/>
        <item x="43"/>
        <item x="21"/>
        <item x="29"/>
        <item x="48"/>
        <item x="58"/>
        <item x="52"/>
        <item x="1"/>
        <item x="20"/>
        <item x="53"/>
        <item x="16"/>
        <item x="2"/>
        <item x="0"/>
        <item x="64"/>
        <item x="9"/>
        <item x="17"/>
        <item x="56"/>
        <item x="12"/>
        <item x="35"/>
        <item x="34"/>
        <item x="24"/>
        <item x="4"/>
        <item x="47"/>
        <item x="38"/>
        <item x="37"/>
        <item x="69"/>
        <item x="68"/>
        <item x="26"/>
        <item x="42"/>
        <item x="41"/>
        <item x="23"/>
        <item x="11"/>
        <item x="31"/>
        <item x="65"/>
        <item x="5"/>
        <item x="10"/>
        <item x="22"/>
        <item x="55"/>
        <item x="63"/>
        <item x="46"/>
        <item x="57"/>
        <item x="54"/>
        <item x="67"/>
        <item x="62"/>
        <item x="25"/>
        <item x="40"/>
        <item x="30"/>
        <item x="51"/>
        <item x="45"/>
        <item x="33"/>
        <item x="36"/>
        <item x="3"/>
      </items>
    </pivotField>
    <pivotField axis="axisPage" compact="0" outline="0" multipleItemSelectionAllowed="1" showAll="0" defaultSubtotal="0">
      <items count="4">
        <item h="1" m="1" x="3"/>
        <item m="1" x="2"/>
        <item x="0"/>
        <item h="1" x="1"/>
      </items>
    </pivotField>
  </pivotFields>
  <rowFields count="7">
    <field x="4"/>
    <field x="3"/>
    <field x="8"/>
    <field x="10"/>
    <field x="9"/>
    <field x="11"/>
    <field x="13"/>
  </rowFields>
  <rowItems count="127">
    <i>
      <x/>
      <x v="1"/>
      <x v="1"/>
      <x v="11"/>
      <x v="10"/>
      <x v="2"/>
      <x v="69"/>
    </i>
    <i r="3">
      <x v="12"/>
      <x v="16"/>
      <x v="2"/>
      <x v="52"/>
    </i>
    <i r="3">
      <x v="17"/>
      <x v="12"/>
      <x v="2"/>
      <x v="39"/>
    </i>
    <i r="2">
      <x v="3"/>
      <x v="19"/>
      <x v="18"/>
      <x v="2"/>
      <x v="32"/>
    </i>
    <i r="3">
      <x v="20"/>
      <x v="19"/>
      <x v="2"/>
      <x v="53"/>
    </i>
    <i t="blank" r="1">
      <x v="1"/>
    </i>
    <i>
      <x v="1"/>
      <x v="4"/>
      <x v="1"/>
      <x v="11"/>
      <x v="10"/>
      <x v="2"/>
      <x v="65"/>
    </i>
    <i r="3">
      <x v="12"/>
      <x v="16"/>
      <x v="2"/>
      <x v="27"/>
    </i>
    <i r="3">
      <x v="13"/>
    </i>
    <i r="3">
      <x v="14"/>
    </i>
    <i r="3">
      <x v="17"/>
      <x v="12"/>
      <x v="2"/>
      <x v="24"/>
    </i>
    <i r="2">
      <x v="3"/>
      <x v="19"/>
      <x v="18"/>
      <x v="2"/>
      <x v="32"/>
    </i>
    <i r="3">
      <x v="20"/>
      <x v="19"/>
      <x v="2"/>
      <x v="53"/>
    </i>
    <i r="2">
      <x v="5"/>
      <x v="9"/>
      <x v="1"/>
      <x v="1"/>
      <x v="15"/>
    </i>
    <i r="3">
      <x v="29"/>
      <x v="30"/>
      <x v="1"/>
      <x v="14"/>
    </i>
    <i t="blank" r="1">
      <x v="4"/>
    </i>
    <i>
      <x v="2"/>
      <x v="9"/>
      <x/>
      <x v="1"/>
      <x v="25"/>
      <x/>
      <x v="26"/>
    </i>
    <i r="3">
      <x v="6"/>
      <x v="22"/>
      <x/>
      <x v="26"/>
    </i>
    <i r="3">
      <x v="22"/>
      <x v="6"/>
      <x/>
      <x v="26"/>
    </i>
    <i r="2">
      <x v="1"/>
      <x v="15"/>
      <x v="9"/>
      <x v="2"/>
      <x v="48"/>
    </i>
    <i r="3">
      <x v="16"/>
      <x v="14"/>
      <x v="2"/>
      <x v="38"/>
    </i>
    <i r="3">
      <x v="17"/>
      <x v="12"/>
      <x v="2"/>
      <x v="38"/>
    </i>
    <i r="2">
      <x v="2"/>
      <x v="30"/>
      <x v="7"/>
      <x v="2"/>
      <x v="38"/>
    </i>
    <i r="2">
      <x v="3"/>
      <x v="19"/>
      <x v="18"/>
      <x v="2"/>
      <x v="32"/>
    </i>
    <i r="3">
      <x v="20"/>
      <x v="19"/>
      <x v="2"/>
      <x v="53"/>
    </i>
    <i r="2">
      <x v="5"/>
      <x/>
      <x v="23"/>
      <x v="1"/>
      <x v="7"/>
    </i>
    <i>
      <x v="3"/>
      <x v="9"/>
      <x/>
      <x v="1"/>
      <x v="25"/>
      <x/>
      <x v="26"/>
    </i>
    <i r="3">
      <x v="6"/>
      <x v="22"/>
      <x/>
      <x v="26"/>
    </i>
    <i r="3">
      <x v="22"/>
      <x v="6"/>
      <x/>
      <x v="26"/>
    </i>
    <i r="2">
      <x v="1"/>
      <x v="15"/>
      <x v="9"/>
      <x v="2"/>
      <x v="20"/>
    </i>
    <i r="3">
      <x v="16"/>
      <x v="14"/>
      <x v="2"/>
      <x v="20"/>
    </i>
    <i r="3">
      <x v="17"/>
      <x v="12"/>
      <x v="2"/>
      <x v="54"/>
    </i>
    <i r="2">
      <x v="2"/>
      <x v="30"/>
      <x v="7"/>
      <x v="2"/>
      <x v="54"/>
    </i>
    <i r="2">
      <x v="3"/>
      <x v="19"/>
      <x v="18"/>
      <x v="2"/>
      <x v="32"/>
    </i>
    <i r="3">
      <x v="20"/>
      <x v="19"/>
      <x v="2"/>
      <x v="53"/>
    </i>
    <i r="2">
      <x v="5"/>
      <x/>
      <x v="23"/>
      <x v="1"/>
      <x v="7"/>
    </i>
    <i t="blank" r="1">
      <x v="9"/>
    </i>
    <i>
      <x v="4"/>
      <x v="5"/>
      <x v="1"/>
      <x v="11"/>
      <x v="10"/>
      <x v="2"/>
      <x v="61"/>
    </i>
    <i r="3">
      <x v="13"/>
    </i>
    <i r="3">
      <x v="14"/>
    </i>
    <i r="3">
      <x v="17"/>
      <x v="12"/>
      <x v="2"/>
      <x v="31"/>
    </i>
    <i r="2">
      <x v="3"/>
      <x v="19"/>
      <x v="18"/>
      <x v="2"/>
      <x v="32"/>
    </i>
    <i r="3">
      <x v="20"/>
      <x v="19"/>
      <x v="2"/>
      <x v="53"/>
    </i>
    <i t="blank" r="1">
      <x v="5"/>
    </i>
    <i>
      <x v="5"/>
      <x v="2"/>
      <x v="1"/>
      <x v="11"/>
      <x v="10"/>
      <x v="2"/>
      <x v="64"/>
    </i>
    <i r="3">
      <x v="12"/>
      <x v="16"/>
      <x v="2"/>
      <x v="50"/>
    </i>
    <i r="3">
      <x v="17"/>
      <x v="12"/>
      <x v="2"/>
      <x v="50"/>
    </i>
    <i r="2">
      <x v="3"/>
      <x v="19"/>
      <x v="18"/>
      <x v="2"/>
      <x v="32"/>
    </i>
    <i r="3">
      <x v="20"/>
      <x v="19"/>
      <x v="2"/>
      <x v="53"/>
    </i>
    <i r="2">
      <x v="5"/>
      <x v="3"/>
      <x v="4"/>
      <x v="1"/>
      <x v="11"/>
    </i>
    <i r="3">
      <x v="9"/>
      <x v="1"/>
      <x v="1"/>
      <x v="12"/>
    </i>
    <i r="3">
      <x v="29"/>
      <x v="30"/>
      <x v="1"/>
      <x v="10"/>
    </i>
    <i t="blank" r="1">
      <x v="2"/>
    </i>
    <i>
      <x v="6"/>
      <x v="10"/>
      <x v="1"/>
      <x v="11"/>
      <x v="10"/>
      <x v="2"/>
      <x v="67"/>
    </i>
    <i r="3">
      <x v="12"/>
      <x v="16"/>
      <x v="2"/>
      <x v="36"/>
    </i>
    <i r="3">
      <x v="17"/>
      <x v="12"/>
      <x v="2"/>
      <x v="37"/>
    </i>
    <i r="2">
      <x v="3"/>
      <x v="19"/>
      <x v="18"/>
      <x v="2"/>
      <x v="32"/>
    </i>
    <i r="3">
      <x v="20"/>
      <x v="19"/>
      <x v="2"/>
      <x v="53"/>
    </i>
    <i t="blank" r="1">
      <x v="10"/>
    </i>
    <i>
      <x v="7"/>
      <x/>
      <x/>
      <x v="4"/>
      <x v="29"/>
      <x v="2"/>
      <x v="29"/>
    </i>
    <i r="2">
      <x v="4"/>
      <x v="2"/>
      <x/>
      <x v="2"/>
      <x v="25"/>
    </i>
    <i r="3">
      <x v="21"/>
      <x v="15"/>
      <x v="2"/>
      <x v="30"/>
    </i>
    <i t="blank" r="1">
      <x/>
    </i>
    <i>
      <x v="8"/>
      <x v="12"/>
      <x v="1"/>
      <x v="11"/>
      <x v="10"/>
      <x v="2"/>
      <x v="66"/>
    </i>
    <i r="3">
      <x v="12"/>
      <x v="16"/>
      <x v="2"/>
      <x v="40"/>
    </i>
    <i r="3">
      <x v="13"/>
    </i>
    <i r="3">
      <x v="14"/>
    </i>
    <i r="3">
      <x v="17"/>
      <x v="12"/>
      <x v="2"/>
      <x v="40"/>
    </i>
    <i r="2">
      <x v="3"/>
      <x v="19"/>
      <x v="18"/>
      <x v="2"/>
      <x v="32"/>
    </i>
    <i r="3">
      <x v="20"/>
      <x v="19"/>
      <x v="2"/>
      <x v="53"/>
    </i>
    <i r="2">
      <x v="5"/>
      <x v="9"/>
      <x v="1"/>
      <x v="1"/>
      <x v="15"/>
    </i>
    <i r="3">
      <x v="29"/>
      <x v="30"/>
      <x v="1"/>
      <x v="14"/>
    </i>
    <i t="blank" r="1">
      <x v="12"/>
    </i>
    <i>
      <x v="9"/>
      <x v="7"/>
      <x v="1"/>
      <x v="11"/>
      <x v="10"/>
      <x v="2"/>
      <x v="68"/>
    </i>
    <i r="3">
      <x v="12"/>
      <x v="16"/>
      <x v="2"/>
      <x v="41"/>
    </i>
    <i r="3">
      <x v="17"/>
      <x v="12"/>
      <x v="2"/>
      <x v="42"/>
    </i>
    <i r="2">
      <x v="3"/>
      <x v="19"/>
      <x v="18"/>
      <x v="2"/>
      <x v="32"/>
    </i>
    <i r="3">
      <x v="20"/>
      <x v="19"/>
      <x v="2"/>
      <x v="53"/>
    </i>
    <i r="2">
      <x v="5"/>
      <x v="24"/>
      <x v="28"/>
      <x v="1"/>
      <x v="5"/>
    </i>
    <i t="blank" r="1">
      <x v="7"/>
    </i>
    <i>
      <x v="10"/>
      <x v="6"/>
      <x v="1"/>
      <x v="11"/>
      <x v="10"/>
      <x v="2"/>
      <x v="60"/>
    </i>
    <i r="3">
      <x v="12"/>
      <x v="16"/>
      <x v="2"/>
      <x v="43"/>
    </i>
    <i r="3">
      <x v="13"/>
    </i>
    <i r="3">
      <x v="14"/>
    </i>
    <i r="3">
      <x v="17"/>
      <x v="12"/>
      <x v="2"/>
      <x v="44"/>
    </i>
    <i r="2">
      <x v="3"/>
      <x v="19"/>
      <x v="18"/>
      <x v="2"/>
      <x v="32"/>
    </i>
    <i r="3">
      <x v="20"/>
      <x v="19"/>
      <x v="2"/>
      <x v="53"/>
    </i>
    <i t="blank" r="1">
      <x v="6"/>
    </i>
    <i>
      <x v="11"/>
      <x v="8"/>
      <x v="1"/>
      <x v="11"/>
      <x v="10"/>
      <x v="2"/>
      <x v="63"/>
    </i>
    <i r="3">
      <x v="12"/>
      <x v="16"/>
      <x v="2"/>
      <x v="46"/>
    </i>
    <i r="3">
      <x v="17"/>
      <x v="12"/>
      <x v="2"/>
      <x v="47"/>
    </i>
    <i r="2">
      <x v="3"/>
      <x v="19"/>
      <x v="18"/>
      <x v="2"/>
      <x v="32"/>
    </i>
    <i r="3">
      <x v="20"/>
      <x v="19"/>
      <x v="2"/>
      <x v="53"/>
    </i>
    <i r="2">
      <x v="5"/>
      <x v="26"/>
      <x v="27"/>
      <x v="1"/>
      <x v="10"/>
    </i>
    <i t="blank" r="1">
      <x v="8"/>
    </i>
    <i>
      <x v="12"/>
      <x v="9"/>
      <x/>
      <x v="1"/>
      <x v="25"/>
      <x/>
      <x v="26"/>
    </i>
    <i r="3">
      <x v="6"/>
      <x v="22"/>
      <x/>
      <x v="26"/>
    </i>
    <i r="3">
      <x v="25"/>
      <x v="26"/>
      <x/>
      <x v="26"/>
    </i>
    <i r="2">
      <x v="1"/>
      <x v="15"/>
      <x v="9"/>
      <x v="2"/>
      <x v="49"/>
    </i>
    <i r="3">
      <x v="16"/>
      <x v="14"/>
      <x v="2"/>
      <x v="35"/>
    </i>
    <i r="3">
      <x v="17"/>
      <x v="12"/>
      <x v="2"/>
      <x v="35"/>
    </i>
    <i r="2">
      <x v="2"/>
      <x v="7"/>
      <x v="17"/>
      <x v="2"/>
      <x v="3"/>
    </i>
    <i r="3">
      <x v="8"/>
      <x v="3"/>
      <x v="2"/>
      <x v="33"/>
    </i>
    <i r="3">
      <x v="18"/>
      <x v="20"/>
      <x v="2"/>
      <x/>
    </i>
    <i r="3">
      <x v="30"/>
      <x v="7"/>
      <x v="2"/>
      <x v="28"/>
    </i>
    <i r="2">
      <x v="3"/>
      <x v="19"/>
      <x v="18"/>
      <x v="2"/>
      <x v="32"/>
    </i>
    <i r="3">
      <x v="20"/>
      <x v="19"/>
      <x v="2"/>
      <x v="53"/>
    </i>
    <i r="2">
      <x v="5"/>
      <x/>
      <x v="23"/>
      <x v="1"/>
      <x v="7"/>
    </i>
    <i t="blank" r="1">
      <x v="9"/>
    </i>
    <i>
      <x v="13"/>
      <x v="11"/>
      <x v="1"/>
      <x v="11"/>
      <x v="10"/>
      <x v="2"/>
      <x v="62"/>
    </i>
    <i r="3">
      <x v="12"/>
      <x v="16"/>
      <x v="2"/>
      <x v="45"/>
    </i>
    <i r="3">
      <x v="17"/>
      <x v="12"/>
      <x v="2"/>
      <x v="45"/>
    </i>
    <i r="2">
      <x v="3"/>
      <x v="19"/>
      <x v="18"/>
      <x v="2"/>
      <x v="32"/>
    </i>
    <i r="3">
      <x v="20"/>
      <x v="19"/>
      <x v="2"/>
      <x v="53"/>
    </i>
    <i r="2">
      <x v="5"/>
      <x v="9"/>
      <x v="1"/>
      <x v="1"/>
      <x v="17"/>
    </i>
    <i r="3">
      <x v="10"/>
      <x v="5"/>
      <x v="1"/>
      <x v="15"/>
    </i>
    <i r="3">
      <x v="27"/>
      <x v="21"/>
      <x v="1"/>
      <x v="21"/>
    </i>
    <i t="blank" r="1">
      <x v="11"/>
    </i>
    <i>
      <x v="14"/>
      <x v="3"/>
      <x v="1"/>
      <x v="11"/>
      <x v="10"/>
      <x v="2"/>
      <x v="59"/>
    </i>
    <i r="3">
      <x v="12"/>
      <x v="16"/>
      <x v="2"/>
      <x v="23"/>
    </i>
    <i r="3">
      <x v="13"/>
    </i>
    <i r="3">
      <x v="14"/>
    </i>
    <i r="3">
      <x v="17"/>
      <x v="12"/>
      <x v="2"/>
      <x v="34"/>
    </i>
    <i r="2">
      <x v="3"/>
      <x v="19"/>
      <x v="18"/>
      <x v="2"/>
      <x v="32"/>
    </i>
    <i r="3">
      <x v="20"/>
      <x v="19"/>
      <x v="2"/>
      <x v="53"/>
    </i>
    <i r="2">
      <x v="5"/>
      <x v="26"/>
      <x v="27"/>
      <x v="1"/>
      <x v="10"/>
    </i>
    <i t="blank" r="1">
      <x v="3"/>
    </i>
  </rowItems>
  <colItems count="1">
    <i/>
  </colItems>
  <pageFields count="1">
    <pageField fld="14" hier="-1"/>
  </pageFields>
  <formats count="8">
    <format dxfId="289">
      <pivotArea field="13" type="button" dataOnly="0" labelOnly="1" outline="0" axis="axisRow" fieldPosition="6"/>
    </format>
    <format dxfId="288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287">
      <pivotArea dataOnly="0" labelOnly="1" outline="0" fieldPosition="0">
        <references count="2">
          <reference field="3" count="1">
            <x v="4"/>
          </reference>
          <reference field="4" count="1" selected="0">
            <x v="1"/>
          </reference>
        </references>
      </pivotArea>
    </format>
    <format dxfId="286">
      <pivotArea dataOnly="0" labelOnly="1" outline="0" fieldPosition="0">
        <references count="2">
          <reference field="3" count="1">
            <x v="5"/>
          </reference>
          <reference field="4" count="1" selected="0">
            <x v="4"/>
          </reference>
        </references>
      </pivotArea>
    </format>
    <format dxfId="285">
      <pivotArea dataOnly="0" labelOnly="1" outline="0" fieldPosition="0">
        <references count="2">
          <reference field="3" count="1">
            <x v="7"/>
          </reference>
          <reference field="4" count="1" selected="0">
            <x v="9"/>
          </reference>
        </references>
      </pivotArea>
    </format>
    <format dxfId="284">
      <pivotArea dataOnly="0" labelOnly="1" outline="0" fieldPosition="0">
        <references count="2">
          <reference field="3" count="1">
            <x v="11"/>
          </reference>
          <reference field="4" count="1" selected="0">
            <x v="13"/>
          </reference>
        </references>
      </pivotArea>
    </format>
    <format dxfId="283">
      <pivotArea dataOnly="0" labelOnly="1" outline="0" fieldPosition="0">
        <references count="2">
          <reference field="3" count="1">
            <x v="3"/>
          </reference>
          <reference field="4" count="1" selected="0">
            <x v="14"/>
          </reference>
        </references>
      </pivotArea>
    </format>
    <format dxfId="282">
      <pivotArea dataOnly="0" labelOnly="1" outline="0" fieldPosition="0">
        <references count="2">
          <reference field="3" count="1">
            <x v="8"/>
          </reference>
          <reference field="4" count="1" selected="0">
            <x v="11"/>
          </reference>
        </references>
      </pivotArea>
    </format>
  </formats>
  <pivotTableStyleInfo name="1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0E751-DF70-4D79-A2E9-7971C15D913F}" name="Сводная таблица2" cacheId="0" applyNumberFormats="0" applyBorderFormats="0" applyFontFormats="0" applyPatternFormats="0" applyAlignmentFormats="0" applyWidthHeightFormats="1" dataCaption="Значения" showMissing="0" updatedVersion="7" minRefreshableVersion="3" showDrill="0" rowGrandTotals="0" colGrandTotals="0" itemPrintTitles="1" createdVersion="7" indent="0" compact="0" compactData="0" multipleFieldFilters="0">
  <location ref="A3:G116" firstHeaderRow="1" firstDataRow="1" firstDataCol="7" rowPageCount="1" colPageCount="1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3">
        <item x="0"/>
        <item x="1"/>
        <item x="4"/>
        <item x="10"/>
        <item x="9"/>
        <item x="11"/>
        <item x="12"/>
        <item x="6"/>
        <item x="7"/>
        <item x="2"/>
        <item x="5"/>
        <item x="3"/>
        <item x="8"/>
      </items>
    </pivotField>
    <pivotField axis="axisRow" compact="0" outline="0" showAll="0" defaultSubtotal="0">
      <items count="15">
        <item x="1"/>
        <item x="11"/>
        <item x="4"/>
        <item x="3"/>
        <item x="13"/>
        <item x="6"/>
        <item x="7"/>
        <item x="0"/>
        <item x="10"/>
        <item x="8"/>
        <item x="14"/>
        <item x="9"/>
        <item x="2"/>
        <item x="5"/>
        <item x="12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6">
        <item x="1"/>
        <item x="2"/>
        <item x="5"/>
        <item x="4"/>
        <item x="0"/>
        <item x="3"/>
      </items>
    </pivotField>
    <pivotField axis="axisRow" compact="0" outline="0" showAll="0" defaultSubtotal="0">
      <items count="31">
        <item x="1"/>
        <item x="7"/>
        <item x="28"/>
        <item x="16"/>
        <item x="24"/>
        <item x="9"/>
        <item x="22"/>
        <item x="15"/>
        <item x="26"/>
        <item x="12"/>
        <item x="3"/>
        <item x="30"/>
        <item x="4"/>
        <item x="27"/>
        <item x="13"/>
        <item x="0"/>
        <item x="5"/>
        <item x="17"/>
        <item x="10"/>
        <item x="11"/>
        <item x="18"/>
        <item x="6"/>
        <item x="20"/>
        <item x="14"/>
        <item x="29"/>
        <item x="19"/>
        <item x="21"/>
        <item x="23"/>
        <item x="25"/>
        <item x="2"/>
        <item x="8"/>
      </items>
    </pivotField>
    <pivotField axis="axisRow" compact="0" outline="0" showAll="0" sortType="ascending" defaultSubtotal="0">
      <items count="31">
        <item x="14"/>
        <item x="19"/>
        <item x="1"/>
        <item x="24"/>
        <item x="2"/>
        <item x="29"/>
        <item x="20"/>
        <item x="17"/>
        <item x="16"/>
        <item x="7"/>
        <item x="9"/>
        <item x="3"/>
        <item x="5"/>
        <item x="26"/>
        <item x="27"/>
        <item x="12"/>
        <item x="13"/>
        <item x="4"/>
        <item x="18"/>
        <item x="10"/>
        <item x="11"/>
        <item x="0"/>
        <item x="22"/>
        <item x="28"/>
        <item x="25"/>
        <item x="21"/>
        <item x="23"/>
        <item x="6"/>
        <item x="30"/>
        <item x="8"/>
        <item x="15"/>
      </items>
    </pivotField>
    <pivotField axis="axisRow" compact="0" outline="0" showAll="0" defaultSubtotal="0">
      <items count="3">
        <item x="2"/>
        <item x="1"/>
        <item x="0"/>
      </items>
    </pivotField>
    <pivotField compact="0" outline="0" showAll="0"/>
    <pivotField axis="axisRow" compact="0" outline="0" showAll="0" defaultSubtotal="0">
      <items count="70">
        <item x="19"/>
        <item x="66"/>
        <item x="61"/>
        <item x="18"/>
        <item x="8"/>
        <item x="39"/>
        <item x="6"/>
        <item x="14"/>
        <item x="15"/>
        <item x="59"/>
        <item x="28"/>
        <item x="7"/>
        <item x="32"/>
        <item x="50"/>
        <item x="49"/>
        <item x="27"/>
        <item x="60"/>
        <item x="13"/>
        <item x="44"/>
        <item x="43"/>
        <item x="21"/>
        <item x="29"/>
        <item x="48"/>
        <item x="58"/>
        <item x="52"/>
        <item x="1"/>
        <item x="20"/>
        <item x="53"/>
        <item x="16"/>
        <item x="2"/>
        <item x="0"/>
        <item x="64"/>
        <item x="9"/>
        <item x="17"/>
        <item x="56"/>
        <item x="12"/>
        <item x="35"/>
        <item x="34"/>
        <item x="24"/>
        <item x="4"/>
        <item x="47"/>
        <item x="38"/>
        <item x="37"/>
        <item x="69"/>
        <item x="68"/>
        <item x="26"/>
        <item x="42"/>
        <item x="41"/>
        <item x="23"/>
        <item x="11"/>
        <item x="31"/>
        <item x="65"/>
        <item x="5"/>
        <item x="10"/>
        <item x="22"/>
        <item x="55"/>
        <item x="63"/>
        <item x="46"/>
        <item x="57"/>
        <item x="54"/>
        <item x="67"/>
        <item x="62"/>
        <item x="25"/>
        <item x="40"/>
        <item x="30"/>
        <item x="51"/>
        <item x="45"/>
        <item x="33"/>
        <item x="36"/>
        <item x="3"/>
      </items>
    </pivotField>
    <pivotField axis="axisPage" compact="0" outline="0" showAll="0">
      <items count="5">
        <item m="1" x="3"/>
        <item m="1" x="2"/>
        <item x="0"/>
        <item x="1"/>
        <item t="default"/>
      </items>
    </pivotField>
  </pivotFields>
  <rowFields count="7">
    <field x="10"/>
    <field x="9"/>
    <field x="8"/>
    <field x="3"/>
    <field x="4"/>
    <field x="11"/>
    <field x="13"/>
  </rowFields>
  <rowItems count="113">
    <i>
      <x/>
      <x v="23"/>
      <x v="5"/>
      <x v="9"/>
      <x v="2"/>
      <x v="1"/>
      <x v="7"/>
    </i>
    <i r="4">
      <x v="3"/>
      <x v="1"/>
      <x v="7"/>
    </i>
    <i r="4">
      <x v="12"/>
      <x v="1"/>
      <x v="7"/>
    </i>
    <i>
      <x v="1"/>
      <x v="25"/>
      <x/>
      <x v="9"/>
      <x v="2"/>
      <x/>
      <x v="26"/>
    </i>
    <i r="4">
      <x v="3"/>
      <x/>
      <x v="26"/>
    </i>
    <i r="4">
      <x v="12"/>
      <x/>
      <x v="26"/>
    </i>
    <i>
      <x v="2"/>
      <x/>
      <x v="4"/>
      <x/>
      <x v="7"/>
      <x v="2"/>
      <x v="25"/>
    </i>
    <i>
      <x v="3"/>
      <x v="4"/>
      <x v="5"/>
      <x v="2"/>
      <x v="5"/>
      <x v="1"/>
      <x v="11"/>
    </i>
    <i>
      <x v="4"/>
      <x v="29"/>
      <x/>
      <x/>
      <x v="7"/>
      <x v="2"/>
      <x v="29"/>
    </i>
    <i>
      <x v="6"/>
      <x v="22"/>
      <x/>
      <x v="9"/>
      <x v="2"/>
      <x/>
      <x v="26"/>
    </i>
    <i r="4">
      <x v="3"/>
      <x/>
      <x v="26"/>
    </i>
    <i r="4">
      <x v="12"/>
      <x/>
      <x v="26"/>
    </i>
    <i>
      <x v="7"/>
      <x v="17"/>
      <x v="2"/>
      <x v="9"/>
      <x v="12"/>
      <x v="2"/>
      <x v="3"/>
    </i>
    <i>
      <x v="8"/>
      <x v="3"/>
      <x v="2"/>
      <x v="9"/>
      <x v="12"/>
      <x v="2"/>
      <x v="33"/>
    </i>
    <i>
      <x v="9"/>
      <x v="1"/>
      <x v="5"/>
      <x v="2"/>
      <x v="5"/>
      <x v="1"/>
      <x v="12"/>
    </i>
    <i r="3">
      <x v="4"/>
      <x v="1"/>
      <x v="1"/>
      <x v="15"/>
    </i>
    <i r="3">
      <x v="11"/>
      <x v="13"/>
      <x v="1"/>
      <x v="17"/>
    </i>
    <i r="3">
      <x v="12"/>
      <x v="8"/>
      <x v="1"/>
      <x v="15"/>
    </i>
    <i>
      <x v="10"/>
      <x v="5"/>
      <x v="5"/>
      <x v="11"/>
      <x v="13"/>
      <x v="1"/>
      <x v="15"/>
    </i>
    <i>
      <x v="11"/>
      <x v="10"/>
      <x v="1"/>
      <x v="1"/>
      <x/>
      <x v="2"/>
      <x v="69"/>
    </i>
    <i r="3">
      <x v="2"/>
      <x v="5"/>
      <x v="2"/>
      <x v="64"/>
    </i>
    <i r="3">
      <x v="3"/>
      <x v="14"/>
      <x v="2"/>
      <x v="59"/>
    </i>
    <i r="3">
      <x v="4"/>
      <x v="1"/>
      <x v="2"/>
      <x v="65"/>
    </i>
    <i r="3">
      <x v="5"/>
      <x v="4"/>
      <x v="2"/>
      <x v="61"/>
    </i>
    <i r="3">
      <x v="6"/>
      <x v="10"/>
      <x v="2"/>
      <x v="60"/>
    </i>
    <i r="3">
      <x v="7"/>
      <x v="9"/>
      <x v="2"/>
      <x v="68"/>
    </i>
    <i r="3">
      <x v="8"/>
      <x v="11"/>
      <x v="2"/>
      <x v="63"/>
    </i>
    <i r="3">
      <x v="10"/>
      <x v="6"/>
      <x v="2"/>
      <x v="67"/>
    </i>
    <i r="3">
      <x v="11"/>
      <x v="13"/>
      <x v="2"/>
      <x v="62"/>
    </i>
    <i r="3">
      <x v="12"/>
      <x v="8"/>
      <x v="2"/>
      <x v="66"/>
    </i>
    <i>
      <x v="12"/>
      <x v="16"/>
      <x v="1"/>
      <x v="1"/>
      <x/>
      <x v="2"/>
      <x v="52"/>
    </i>
    <i r="3">
      <x v="2"/>
      <x v="5"/>
      <x v="2"/>
      <x v="50"/>
    </i>
    <i r="3">
      <x v="3"/>
      <x v="14"/>
      <x v="2"/>
      <x v="23"/>
    </i>
    <i r="3">
      <x v="4"/>
      <x v="1"/>
      <x v="2"/>
      <x v="27"/>
    </i>
    <i r="3">
      <x v="6"/>
      <x v="10"/>
      <x v="2"/>
      <x v="43"/>
    </i>
    <i r="3">
      <x v="7"/>
      <x v="9"/>
      <x v="2"/>
      <x v="41"/>
    </i>
    <i r="3">
      <x v="8"/>
      <x v="11"/>
      <x v="2"/>
      <x v="46"/>
    </i>
    <i r="3">
      <x v="10"/>
      <x v="6"/>
      <x v="2"/>
      <x v="36"/>
    </i>
    <i r="3">
      <x v="11"/>
      <x v="13"/>
      <x v="2"/>
      <x v="45"/>
    </i>
    <i r="3">
      <x v="12"/>
      <x v="8"/>
      <x v="2"/>
      <x v="40"/>
    </i>
    <i>
      <x v="13"/>
      <x v="8"/>
      <x v="1"/>
      <x v="3"/>
      <x v="14"/>
      <x v="2"/>
      <x v="55"/>
    </i>
    <i r="3">
      <x v="4"/>
      <x v="1"/>
      <x v="2"/>
      <x v="57"/>
    </i>
    <i r="3">
      <x v="5"/>
      <x v="4"/>
      <x v="2"/>
      <x v="56"/>
    </i>
    <i r="3">
      <x v="6"/>
      <x v="10"/>
      <x v="2"/>
      <x v="56"/>
    </i>
    <i r="3">
      <x v="12"/>
      <x v="8"/>
      <x v="2"/>
      <x v="57"/>
    </i>
    <i>
      <x v="14"/>
      <x v="13"/>
      <x v="1"/>
      <x v="3"/>
      <x v="14"/>
      <x v="2"/>
      <x v="58"/>
    </i>
    <i r="3">
      <x v="4"/>
      <x v="1"/>
      <x v="2"/>
      <x v="22"/>
    </i>
    <i r="3">
      <x v="5"/>
      <x v="4"/>
      <x v="2"/>
      <x v="51"/>
    </i>
    <i r="3">
      <x v="6"/>
      <x v="10"/>
      <x v="2"/>
      <x v="51"/>
    </i>
    <i r="3">
      <x v="12"/>
      <x v="8"/>
      <x v="2"/>
      <x v="22"/>
    </i>
    <i>
      <x v="15"/>
      <x v="9"/>
      <x v="1"/>
      <x v="9"/>
      <x v="2"/>
      <x v="2"/>
      <x v="48"/>
    </i>
    <i r="4">
      <x v="3"/>
      <x v="2"/>
      <x v="20"/>
    </i>
    <i r="4">
      <x v="12"/>
      <x v="2"/>
      <x v="49"/>
    </i>
    <i>
      <x v="16"/>
      <x v="14"/>
      <x v="1"/>
      <x v="9"/>
      <x v="2"/>
      <x v="2"/>
      <x v="38"/>
    </i>
    <i r="4">
      <x v="3"/>
      <x v="2"/>
      <x v="20"/>
    </i>
    <i r="4">
      <x v="12"/>
      <x v="2"/>
      <x v="35"/>
    </i>
    <i>
      <x v="17"/>
      <x v="12"/>
      <x v="1"/>
      <x v="1"/>
      <x/>
      <x v="2"/>
      <x v="39"/>
    </i>
    <i r="3">
      <x v="2"/>
      <x v="5"/>
      <x v="2"/>
      <x v="50"/>
    </i>
    <i r="3">
      <x v="3"/>
      <x v="14"/>
      <x v="2"/>
      <x v="34"/>
    </i>
    <i r="3">
      <x v="4"/>
      <x v="1"/>
      <x v="2"/>
      <x v="24"/>
    </i>
    <i r="3">
      <x v="5"/>
      <x v="4"/>
      <x v="2"/>
      <x v="31"/>
    </i>
    <i r="3">
      <x v="6"/>
      <x v="10"/>
      <x v="2"/>
      <x v="44"/>
    </i>
    <i r="3">
      <x v="7"/>
      <x v="9"/>
      <x v="2"/>
      <x v="42"/>
    </i>
    <i r="3">
      <x v="8"/>
      <x v="11"/>
      <x v="2"/>
      <x v="47"/>
    </i>
    <i r="3">
      <x v="9"/>
      <x v="2"/>
      <x v="2"/>
      <x v="38"/>
    </i>
    <i r="4">
      <x v="3"/>
      <x v="2"/>
      <x v="54"/>
    </i>
    <i r="4">
      <x v="12"/>
      <x v="2"/>
      <x v="35"/>
    </i>
    <i r="3">
      <x v="10"/>
      <x v="6"/>
      <x v="2"/>
      <x v="37"/>
    </i>
    <i r="3">
      <x v="11"/>
      <x v="13"/>
      <x v="2"/>
      <x v="45"/>
    </i>
    <i r="3">
      <x v="12"/>
      <x v="8"/>
      <x v="2"/>
      <x v="40"/>
    </i>
    <i>
      <x v="18"/>
      <x v="20"/>
      <x v="2"/>
      <x v="9"/>
      <x v="12"/>
      <x v="2"/>
      <x/>
    </i>
    <i>
      <x v="19"/>
      <x v="18"/>
      <x v="3"/>
      <x v="1"/>
      <x/>
      <x v="2"/>
      <x v="32"/>
    </i>
    <i r="3">
      <x v="2"/>
      <x v="5"/>
      <x v="2"/>
      <x v="32"/>
    </i>
    <i r="3">
      <x v="3"/>
      <x v="14"/>
      <x v="2"/>
      <x v="32"/>
    </i>
    <i r="3">
      <x v="4"/>
      <x v="1"/>
      <x v="2"/>
      <x v="32"/>
    </i>
    <i r="3">
      <x v="5"/>
      <x v="4"/>
      <x v="2"/>
      <x v="32"/>
    </i>
    <i r="3">
      <x v="6"/>
      <x v="10"/>
      <x v="2"/>
      <x v="32"/>
    </i>
    <i r="3">
      <x v="7"/>
      <x v="9"/>
      <x v="2"/>
      <x v="32"/>
    </i>
    <i r="3">
      <x v="8"/>
      <x v="11"/>
      <x v="2"/>
      <x v="32"/>
    </i>
    <i r="3">
      <x v="9"/>
      <x v="2"/>
      <x v="2"/>
      <x v="32"/>
    </i>
    <i r="4">
      <x v="3"/>
      <x v="2"/>
      <x v="32"/>
    </i>
    <i r="4">
      <x v="12"/>
      <x v="2"/>
      <x v="32"/>
    </i>
    <i r="3">
      <x v="10"/>
      <x v="6"/>
      <x v="2"/>
      <x v="32"/>
    </i>
    <i r="3">
      <x v="11"/>
      <x v="13"/>
      <x v="2"/>
      <x v="32"/>
    </i>
    <i r="3">
      <x v="12"/>
      <x v="8"/>
      <x v="2"/>
      <x v="32"/>
    </i>
    <i>
      <x v="20"/>
      <x v="19"/>
      <x v="3"/>
      <x v="1"/>
      <x/>
      <x v="2"/>
      <x v="53"/>
    </i>
    <i r="3">
      <x v="2"/>
      <x v="5"/>
      <x v="2"/>
      <x v="53"/>
    </i>
    <i r="3">
      <x v="3"/>
      <x v="14"/>
      <x v="2"/>
      <x v="53"/>
    </i>
    <i r="3">
      <x v="4"/>
      <x v="1"/>
      <x v="2"/>
      <x v="53"/>
    </i>
    <i r="3">
      <x v="5"/>
      <x v="4"/>
      <x v="2"/>
      <x v="53"/>
    </i>
    <i r="3">
      <x v="6"/>
      <x v="10"/>
      <x v="2"/>
      <x v="53"/>
    </i>
    <i r="3">
      <x v="7"/>
      <x v="9"/>
      <x v="2"/>
      <x v="53"/>
    </i>
    <i r="3">
      <x v="8"/>
      <x v="11"/>
      <x v="2"/>
      <x v="53"/>
    </i>
    <i r="3">
      <x v="9"/>
      <x v="2"/>
      <x v="2"/>
      <x v="53"/>
    </i>
    <i r="4">
      <x v="3"/>
      <x v="2"/>
      <x v="53"/>
    </i>
    <i r="4">
      <x v="12"/>
      <x v="2"/>
      <x v="53"/>
    </i>
    <i r="3">
      <x v="10"/>
      <x v="6"/>
      <x v="2"/>
      <x v="53"/>
    </i>
    <i r="3">
      <x v="11"/>
      <x v="13"/>
      <x v="2"/>
      <x v="53"/>
    </i>
    <i r="3">
      <x v="12"/>
      <x v="8"/>
      <x v="2"/>
      <x v="53"/>
    </i>
    <i>
      <x v="21"/>
      <x v="15"/>
      <x v="4"/>
      <x/>
      <x v="7"/>
      <x v="2"/>
      <x v="30"/>
    </i>
    <i>
      <x v="22"/>
      <x v="6"/>
      <x/>
      <x v="9"/>
      <x v="2"/>
      <x/>
      <x v="26"/>
    </i>
    <i r="4">
      <x v="3"/>
      <x/>
      <x v="26"/>
    </i>
    <i>
      <x v="24"/>
      <x v="28"/>
      <x v="5"/>
      <x v="7"/>
      <x v="9"/>
      <x v="1"/>
      <x v="5"/>
    </i>
    <i>
      <x v="25"/>
      <x v="26"/>
      <x/>
      <x v="9"/>
      <x v="12"/>
      <x/>
      <x v="26"/>
    </i>
    <i>
      <x v="26"/>
      <x v="27"/>
      <x v="5"/>
      <x v="3"/>
      <x v="14"/>
      <x v="1"/>
      <x v="10"/>
    </i>
    <i r="3">
      <x v="8"/>
      <x v="11"/>
      <x v="1"/>
      <x v="10"/>
    </i>
    <i>
      <x v="27"/>
      <x v="21"/>
      <x v="5"/>
      <x v="11"/>
      <x v="13"/>
      <x v="1"/>
      <x v="21"/>
    </i>
    <i>
      <x v="29"/>
      <x v="30"/>
      <x v="5"/>
      <x v="2"/>
      <x v="5"/>
      <x v="1"/>
      <x v="10"/>
    </i>
    <i r="3">
      <x v="4"/>
      <x v="1"/>
      <x v="1"/>
      <x v="14"/>
    </i>
    <i r="3">
      <x v="12"/>
      <x v="8"/>
      <x v="1"/>
      <x v="14"/>
    </i>
    <i>
      <x v="30"/>
      <x v="7"/>
      <x v="2"/>
      <x v="9"/>
      <x v="2"/>
      <x v="2"/>
      <x v="38"/>
    </i>
    <i r="4">
      <x v="3"/>
      <x v="2"/>
      <x v="54"/>
    </i>
    <i r="4">
      <x v="12"/>
      <x v="2"/>
      <x v="28"/>
    </i>
  </rowItems>
  <colItems count="1">
    <i/>
  </colItems>
  <pageFields count="1">
    <pageField fld="14" item="2" hier="-1"/>
  </pageFields>
  <formats count="145">
    <format dxfId="281">
      <pivotArea field="13" type="button" dataOnly="0" labelOnly="1" outline="0" axis="axisRow" fieldPosition="6"/>
    </format>
    <format dxfId="280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3" count="1">
            <x v="2"/>
          </reference>
        </references>
      </pivotArea>
    </format>
    <format dxfId="279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3" count="1">
            <x v="2"/>
          </reference>
        </references>
      </pivotArea>
    </format>
    <format dxfId="278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3" count="1">
            <x v="7"/>
          </reference>
        </references>
      </pivotArea>
    </format>
    <format dxfId="277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3" count="1">
            <x v="7"/>
          </reference>
        </references>
      </pivotArea>
    </format>
    <format dxfId="276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3" count="1">
            <x v="7"/>
          </reference>
        </references>
      </pivotArea>
    </format>
    <format dxfId="27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74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73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72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7"/>
          </reference>
          <reference field="8" count="1" selected="0">
            <x v="4"/>
          </reference>
          <reference field="9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3" count="1">
            <x v="25"/>
          </reference>
        </references>
      </pivotArea>
    </format>
    <format dxfId="271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3" count="1">
            <x v="11"/>
          </reference>
        </references>
      </pivotArea>
    </format>
    <format dxfId="270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7"/>
          </reference>
          <reference field="8" count="1" selected="0">
            <x v="0"/>
          </reference>
          <reference field="9" count="1" selected="0">
            <x v="29"/>
          </reference>
          <reference field="10" count="1" selected="0">
            <x v="4"/>
          </reference>
          <reference field="11" count="1" selected="0">
            <x v="2"/>
          </reference>
          <reference field="13" count="1">
            <x v="29"/>
          </reference>
        </references>
      </pivotArea>
    </format>
    <format dxfId="269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24"/>
          </reference>
          <reference field="10" count="1" selected="0">
            <x v="5"/>
          </reference>
          <reference field="11" count="1" selected="0">
            <x v="1"/>
          </reference>
          <reference field="13" count="1">
            <x v="5"/>
          </reference>
        </references>
      </pivotArea>
    </format>
    <format dxfId="268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67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66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26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17"/>
          </reference>
          <reference field="10" count="1" selected="0">
            <x v="7"/>
          </reference>
          <reference field="11" count="1" selected="0">
            <x v="2"/>
          </reference>
          <reference field="13" count="1">
            <x v="3"/>
          </reference>
        </references>
      </pivotArea>
    </format>
    <format dxfId="264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3"/>
          </reference>
          <reference field="10" count="1" selected="0">
            <x v="8"/>
          </reference>
          <reference field="11" count="1" selected="0">
            <x v="2"/>
          </reference>
          <reference field="13" count="1">
            <x v="33"/>
          </reference>
        </references>
      </pivotArea>
    </format>
    <format dxfId="263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1"/>
          </reference>
        </references>
      </pivotArea>
    </format>
    <format dxfId="262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2"/>
          </reference>
        </references>
      </pivotArea>
    </format>
    <format dxfId="261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6"/>
          </reference>
        </references>
      </pivotArea>
    </format>
    <format dxfId="260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259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6"/>
          </reference>
        </references>
      </pivotArea>
    </format>
    <format dxfId="258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7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6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4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3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7"/>
          </reference>
        </references>
      </pivotArea>
    </format>
    <format dxfId="252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251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3" count="1">
            <x v="4"/>
          </reference>
        </references>
      </pivotArea>
    </format>
    <format dxfId="250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249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3" count="1">
            <x v="14"/>
          </reference>
        </references>
      </pivotArea>
    </format>
    <format dxfId="248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3" count="1">
            <x v="19"/>
          </reference>
        </references>
      </pivotArea>
    </format>
    <format dxfId="247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246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9"/>
          </reference>
        </references>
      </pivotArea>
    </format>
    <format dxfId="245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4"/>
          </reference>
        </references>
      </pivotArea>
    </format>
    <format dxfId="244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59"/>
          </reference>
        </references>
      </pivotArea>
    </format>
    <format dxfId="243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5"/>
          </reference>
        </references>
      </pivotArea>
    </format>
    <format dxfId="242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1"/>
          </reference>
        </references>
      </pivotArea>
    </format>
    <format dxfId="241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0"/>
          </reference>
        </references>
      </pivotArea>
    </format>
    <format dxfId="240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8"/>
          </reference>
        </references>
      </pivotArea>
    </format>
    <format dxfId="239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3"/>
          </reference>
        </references>
      </pivotArea>
    </format>
    <format dxfId="238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7"/>
          </reference>
        </references>
      </pivotArea>
    </format>
    <format dxfId="237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2"/>
          </reference>
        </references>
      </pivotArea>
    </format>
    <format dxfId="236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3" count="1">
            <x v="66"/>
          </reference>
        </references>
      </pivotArea>
    </format>
    <format dxfId="235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52"/>
          </reference>
        </references>
      </pivotArea>
    </format>
    <format dxfId="234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50"/>
          </reference>
        </references>
      </pivotArea>
    </format>
    <format dxfId="233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23"/>
          </reference>
        </references>
      </pivotArea>
    </format>
    <format dxfId="232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27"/>
          </reference>
        </references>
      </pivotArea>
    </format>
    <format dxfId="231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43"/>
          </reference>
        </references>
      </pivotArea>
    </format>
    <format dxfId="230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41"/>
          </reference>
        </references>
      </pivotArea>
    </format>
    <format dxfId="229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46"/>
          </reference>
        </references>
      </pivotArea>
    </format>
    <format dxfId="228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36"/>
          </reference>
        </references>
      </pivotArea>
    </format>
    <format dxfId="227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45"/>
          </reference>
        </references>
      </pivotArea>
    </format>
    <format dxfId="226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3" count="1">
            <x v="40"/>
          </reference>
        </references>
      </pivotArea>
    </format>
    <format dxfId="225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3" count="1">
            <x v="55"/>
          </reference>
        </references>
      </pivotArea>
    </format>
    <format dxfId="224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3" count="1">
            <x v="57"/>
          </reference>
        </references>
      </pivotArea>
    </format>
    <format dxfId="223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3" count="1">
            <x v="56"/>
          </reference>
        </references>
      </pivotArea>
    </format>
    <format dxfId="222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3" count="1">
            <x v="56"/>
          </reference>
        </references>
      </pivotArea>
    </format>
    <format dxfId="221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3" count="1">
            <x v="57"/>
          </reference>
        </references>
      </pivotArea>
    </format>
    <format dxfId="220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3" count="1">
            <x v="58"/>
          </reference>
        </references>
      </pivotArea>
    </format>
    <format dxfId="219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3" count="1">
            <x v="22"/>
          </reference>
        </references>
      </pivotArea>
    </format>
    <format dxfId="218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3" count="1">
            <x v="51"/>
          </reference>
        </references>
      </pivotArea>
    </format>
    <format dxfId="217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3" count="1">
            <x v="51"/>
          </reference>
        </references>
      </pivotArea>
    </format>
    <format dxfId="216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3" count="1">
            <x v="22"/>
          </reference>
        </references>
      </pivotArea>
    </format>
    <format dxfId="21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3" count="1">
            <x v="48"/>
          </reference>
        </references>
      </pivotArea>
    </format>
    <format dxfId="214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3" count="1">
            <x v="20"/>
          </reference>
        </references>
      </pivotArea>
    </format>
    <format dxfId="213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3" count="1">
            <x v="49"/>
          </reference>
        </references>
      </pivotArea>
    </format>
    <format dxfId="212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3" count="1">
            <x v="38"/>
          </reference>
        </references>
      </pivotArea>
    </format>
    <format dxfId="211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3" count="1">
            <x v="20"/>
          </reference>
        </references>
      </pivotArea>
    </format>
    <format dxfId="210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3" count="1">
            <x v="35"/>
          </reference>
        </references>
      </pivotArea>
    </format>
    <format dxfId="209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9"/>
          </reference>
        </references>
      </pivotArea>
    </format>
    <format dxfId="208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50"/>
          </reference>
        </references>
      </pivotArea>
    </format>
    <format dxfId="207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4"/>
          </reference>
        </references>
      </pivotArea>
    </format>
    <format dxfId="206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24"/>
          </reference>
        </references>
      </pivotArea>
    </format>
    <format dxfId="205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1"/>
          </reference>
        </references>
      </pivotArea>
    </format>
    <format dxfId="204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44"/>
          </reference>
        </references>
      </pivotArea>
    </format>
    <format dxfId="203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42"/>
          </reference>
        </references>
      </pivotArea>
    </format>
    <format dxfId="202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47"/>
          </reference>
        </references>
      </pivotArea>
    </format>
    <format dxfId="201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8"/>
          </reference>
        </references>
      </pivotArea>
    </format>
    <format dxfId="200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54"/>
          </reference>
        </references>
      </pivotArea>
    </format>
    <format dxfId="199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5"/>
          </reference>
        </references>
      </pivotArea>
    </format>
    <format dxfId="198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37"/>
          </reference>
        </references>
      </pivotArea>
    </format>
    <format dxfId="197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45"/>
          </reference>
        </references>
      </pivotArea>
    </format>
    <format dxfId="196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3" count="1">
            <x v="40"/>
          </reference>
        </references>
      </pivotArea>
    </format>
    <format dxfId="19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20"/>
          </reference>
          <reference field="10" count="1" selected="0">
            <x v="18"/>
          </reference>
          <reference field="11" count="1" selected="0">
            <x v="2"/>
          </reference>
          <reference field="13" count="1">
            <x v="0"/>
          </reference>
        </references>
      </pivotArea>
    </format>
    <format dxfId="194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93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92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91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90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9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8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7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6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4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3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2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1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3" count="1">
            <x v="32"/>
          </reference>
        </references>
      </pivotArea>
    </format>
    <format dxfId="180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9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8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7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6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5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4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3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2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1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70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69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68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67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3" count="1">
            <x v="53"/>
          </reference>
        </references>
      </pivotArea>
    </format>
    <format dxfId="166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7"/>
          </reference>
          <reference field="8" count="1" selected="0">
            <x v="4"/>
          </reference>
          <reference field="9" count="1" selected="0">
            <x v="15"/>
          </reference>
          <reference field="10" count="1" selected="0">
            <x v="21"/>
          </reference>
          <reference field="11" count="1" selected="0">
            <x v="2"/>
          </reference>
          <reference field="13" count="1">
            <x v="30"/>
          </reference>
        </references>
      </pivotArea>
    </format>
    <format dxfId="165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6"/>
          </reference>
          <reference field="10" count="1" selected="0">
            <x v="22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164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6"/>
          </reference>
          <reference field="10" count="1" selected="0">
            <x v="22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163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2"/>
          </reference>
          <reference field="10" count="1" selected="0">
            <x v="23"/>
          </reference>
          <reference field="11" count="1" selected="0">
            <x v="1"/>
          </reference>
          <reference field="13" count="1">
            <x v="13"/>
          </reference>
        </references>
      </pivotArea>
    </format>
    <format dxfId="162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5"/>
          </reference>
          <reference field="9" count="1" selected="0">
            <x v="28"/>
          </reference>
          <reference field="10" count="1" selected="0">
            <x v="24"/>
          </reference>
          <reference field="11" count="1" selected="0">
            <x v="1"/>
          </reference>
          <reference field="13" count="1">
            <x v="5"/>
          </reference>
        </references>
      </pivotArea>
    </format>
    <format dxfId="161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6"/>
          </reference>
          <reference field="10" count="1" selected="0">
            <x v="25"/>
          </reference>
          <reference field="11" count="1" selected="0">
            <x v="0"/>
          </reference>
          <reference field="13" count="1">
            <x v="26"/>
          </reference>
        </references>
      </pivotArea>
    </format>
    <format dxfId="160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3" count="1">
            <x v="10"/>
          </reference>
        </references>
      </pivotArea>
    </format>
    <format dxfId="159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3" count="1">
            <x v="10"/>
          </reference>
        </references>
      </pivotArea>
    </format>
    <format dxfId="158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3" count="1">
            <x v="10"/>
          </reference>
        </references>
      </pivotArea>
    </format>
    <format dxfId="157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3" count="1">
            <x v="10"/>
          </reference>
        </references>
      </pivotArea>
    </format>
    <format dxfId="156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6"/>
          </reference>
        </references>
      </pivotArea>
    </format>
    <format dxfId="155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21"/>
          </reference>
        </references>
      </pivotArea>
    </format>
    <format dxfId="154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5"/>
          </reference>
        </references>
      </pivotArea>
    </format>
    <format dxfId="153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8"/>
          </reference>
        </references>
      </pivotArea>
    </format>
    <format dxfId="152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8"/>
          </reference>
        </references>
      </pivotArea>
    </format>
    <format dxfId="151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8"/>
          </reference>
        </references>
      </pivotArea>
    </format>
    <format dxfId="150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3" count="1">
            <x v="21"/>
          </reference>
        </references>
      </pivotArea>
    </format>
    <format dxfId="149">
      <pivotArea dataOnly="0" labelOnly="1" outline="0" fieldPosition="0">
        <references count="7">
          <reference field="3" count="1" selected="0">
            <x v="5"/>
          </reference>
          <reference field="4" count="1" selected="0">
            <x v="4"/>
          </reference>
          <reference field="8" count="1" selected="0">
            <x v="5"/>
          </reference>
          <reference field="9" count="1" selected="0">
            <x v="11"/>
          </reference>
          <reference field="10" count="1" selected="0">
            <x v="28"/>
          </reference>
          <reference field="11" count="1" selected="0">
            <x v="1"/>
          </reference>
          <reference field="13" count="1">
            <x v="1"/>
          </reference>
        </references>
      </pivotArea>
    </format>
    <format dxfId="148">
      <pivotArea dataOnly="0" labelOnly="1" outline="0" fieldPosition="0">
        <references count="7">
          <reference field="3" count="1" selected="0">
            <x v="1"/>
          </reference>
          <reference field="4" count="1" selected="0">
            <x v="0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1"/>
          </reference>
        </references>
      </pivotArea>
    </format>
    <format dxfId="147">
      <pivotArea dataOnly="0" labelOnly="1" outline="0" fieldPosition="0">
        <references count="7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0"/>
          </reference>
        </references>
      </pivotArea>
    </format>
    <format dxfId="146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4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9"/>
          </reference>
        </references>
      </pivotArea>
    </format>
    <format dxfId="145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4"/>
          </reference>
        </references>
      </pivotArea>
    </format>
    <format dxfId="144">
      <pivotArea dataOnly="0" labelOnly="1" outline="0" fieldPosition="0">
        <references count="7">
          <reference field="3" count="1" selected="0">
            <x v="6"/>
          </reference>
          <reference field="4" count="1" selected="0">
            <x v="10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9"/>
          </reference>
        </references>
      </pivotArea>
    </format>
    <format dxfId="143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9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142">
      <pivotArea dataOnly="0" labelOnly="1" outline="0" fieldPosition="0">
        <references count="7">
          <reference field="3" count="1" selected="0">
            <x v="8"/>
          </reference>
          <reference field="4" count="1" selected="0">
            <x v="11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8"/>
          </reference>
        </references>
      </pivotArea>
    </format>
    <format dxfId="141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6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5"/>
          </reference>
        </references>
      </pivotArea>
    </format>
    <format dxfId="140">
      <pivotArea dataOnly="0" labelOnly="1" outline="0" fieldPosition="0">
        <references count="7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3" count="1">
            <x v="14"/>
          </reference>
        </references>
      </pivotArea>
    </format>
    <format dxfId="139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2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3" count="1">
            <x v="38"/>
          </reference>
        </references>
      </pivotArea>
    </format>
    <format dxfId="138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3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3" count="1">
            <x v="54"/>
          </reference>
        </references>
      </pivotArea>
    </format>
    <format dxfId="137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3" count="1">
            <x v="28"/>
          </reference>
        </references>
      </pivotArea>
    </format>
  </formats>
  <pivotTableStyleInfo name="1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EC923-C261-4C99-BB37-309689EABB13}" name="Сводная таблица3" cacheId="0" applyNumberFormats="0" applyBorderFormats="0" applyFontFormats="0" applyPatternFormats="0" applyAlignmentFormats="0" applyWidthHeightFormats="1" dataCaption="Значения" showMissing="0" updatedVersion="7" minRefreshableVersion="3" showDrill="0" rowGrandTotals="0" colGrandTotals="0" itemPrintTitles="1" createdVersion="7" indent="0" compact="0" compactData="0" multipleFieldFilters="0">
  <location ref="A3:H116" firstHeaderRow="1" firstDataRow="1" firstDataCol="8" rowPageCount="1" colPageCount="1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3">
        <item x="0"/>
        <item x="1"/>
        <item x="4"/>
        <item x="10"/>
        <item x="9"/>
        <item x="11"/>
        <item x="12"/>
        <item x="6"/>
        <item x="7"/>
        <item x="2"/>
        <item x="5"/>
        <item x="3"/>
        <item x="8"/>
      </items>
    </pivotField>
    <pivotField axis="axisRow" compact="0" outline="0" showAll="0" defaultSubtotal="0">
      <items count="15">
        <item x="1"/>
        <item x="11"/>
        <item x="4"/>
        <item x="3"/>
        <item x="13"/>
        <item x="6"/>
        <item x="7"/>
        <item x="0"/>
        <item x="10"/>
        <item x="8"/>
        <item x="14"/>
        <item x="9"/>
        <item x="2"/>
        <item x="5"/>
        <item x="12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6">
        <item x="1"/>
        <item x="2"/>
        <item x="5"/>
        <item x="4"/>
        <item x="0"/>
        <item x="3"/>
      </items>
    </pivotField>
    <pivotField axis="axisRow" compact="0" outline="0" showAll="0" defaultSubtotal="0">
      <items count="31">
        <item x="1"/>
        <item x="7"/>
        <item x="28"/>
        <item x="16"/>
        <item x="24"/>
        <item x="9"/>
        <item x="22"/>
        <item x="15"/>
        <item x="26"/>
        <item x="12"/>
        <item x="3"/>
        <item x="30"/>
        <item x="4"/>
        <item x="27"/>
        <item x="13"/>
        <item x="0"/>
        <item x="5"/>
        <item x="17"/>
        <item x="10"/>
        <item x="11"/>
        <item x="18"/>
        <item x="6"/>
        <item x="20"/>
        <item x="14"/>
        <item x="29"/>
        <item x="19"/>
        <item x="21"/>
        <item x="23"/>
        <item x="25"/>
        <item x="2"/>
        <item x="8"/>
      </items>
    </pivotField>
    <pivotField axis="axisRow" compact="0" outline="0" showAll="0" sortType="ascending" defaultSubtotal="0">
      <items count="31">
        <item x="14"/>
        <item x="19"/>
        <item x="1"/>
        <item x="24"/>
        <item x="2"/>
        <item x="29"/>
        <item x="20"/>
        <item x="17"/>
        <item x="16"/>
        <item x="7"/>
        <item x="9"/>
        <item x="3"/>
        <item x="5"/>
        <item x="26"/>
        <item x="27"/>
        <item x="12"/>
        <item x="13"/>
        <item x="4"/>
        <item x="18"/>
        <item x="10"/>
        <item x="11"/>
        <item x="0"/>
        <item x="22"/>
        <item x="28"/>
        <item x="25"/>
        <item x="21"/>
        <item x="23"/>
        <item x="6"/>
        <item x="30"/>
        <item x="8"/>
        <item x="15"/>
      </items>
    </pivotField>
    <pivotField axis="axisRow" compact="0" outline="0" showAll="0" defaultSubtotal="0">
      <items count="3">
        <item x="2"/>
        <item x="1"/>
        <item x="0"/>
      </items>
    </pivotField>
    <pivotField axis="axisRow" compact="0" outline="0" showAll="0" defaultSubtotal="0">
      <items count="6">
        <item x="0"/>
        <item x="4"/>
        <item x="3"/>
        <item x="5"/>
        <item x="1"/>
        <item x="2"/>
      </items>
    </pivotField>
    <pivotField axis="axisRow" compact="0" outline="0" showAll="0" defaultSubtotal="0">
      <items count="70">
        <item x="19"/>
        <item x="66"/>
        <item x="61"/>
        <item x="18"/>
        <item x="8"/>
        <item x="39"/>
        <item x="6"/>
        <item x="14"/>
        <item x="15"/>
        <item x="59"/>
        <item x="28"/>
        <item x="7"/>
        <item x="32"/>
        <item x="50"/>
        <item x="49"/>
        <item x="27"/>
        <item x="60"/>
        <item x="13"/>
        <item x="44"/>
        <item x="43"/>
        <item x="21"/>
        <item x="29"/>
        <item x="48"/>
        <item x="58"/>
        <item x="52"/>
        <item x="1"/>
        <item x="20"/>
        <item x="53"/>
        <item x="16"/>
        <item x="2"/>
        <item x="0"/>
        <item x="64"/>
        <item x="9"/>
        <item x="17"/>
        <item x="56"/>
        <item x="12"/>
        <item x="35"/>
        <item x="34"/>
        <item x="24"/>
        <item x="4"/>
        <item x="47"/>
        <item x="38"/>
        <item x="37"/>
        <item x="69"/>
        <item x="68"/>
        <item x="26"/>
        <item x="42"/>
        <item x="41"/>
        <item x="23"/>
        <item x="11"/>
        <item x="31"/>
        <item x="65"/>
        <item x="5"/>
        <item x="10"/>
        <item x="22"/>
        <item x="55"/>
        <item x="63"/>
        <item x="46"/>
        <item x="57"/>
        <item x="54"/>
        <item x="67"/>
        <item x="62"/>
        <item x="25"/>
        <item x="40"/>
        <item x="30"/>
        <item x="51"/>
        <item x="45"/>
        <item x="33"/>
        <item x="36"/>
        <item x="3"/>
      </items>
    </pivotField>
    <pivotField axis="axisPage" compact="0" outline="0" multipleItemSelectionAllowed="1" showAll="0" defaultSubtotal="0">
      <items count="4">
        <item h="1" m="1" x="3"/>
        <item m="1" x="2"/>
        <item x="0"/>
        <item h="1" x="1"/>
      </items>
    </pivotField>
  </pivotFields>
  <rowFields count="8">
    <field x="8"/>
    <field x="10"/>
    <field x="9"/>
    <field x="3"/>
    <field x="4"/>
    <field x="11"/>
    <field x="13"/>
    <field x="12"/>
  </rowFields>
  <rowItems count="113">
    <i>
      <x/>
      <x v="1"/>
      <x v="25"/>
      <x v="9"/>
      <x v="2"/>
      <x/>
      <x v="26"/>
      <x/>
    </i>
    <i r="4">
      <x v="3"/>
      <x/>
      <x v="26"/>
      <x/>
    </i>
    <i r="4">
      <x v="12"/>
      <x/>
      <x v="26"/>
      <x/>
    </i>
    <i r="1">
      <x v="4"/>
      <x v="29"/>
      <x/>
      <x v="7"/>
      <x v="2"/>
      <x v="29"/>
      <x/>
    </i>
    <i r="1">
      <x v="6"/>
      <x v="22"/>
      <x v="9"/>
      <x v="2"/>
      <x/>
      <x v="26"/>
      <x/>
    </i>
    <i r="4">
      <x v="3"/>
      <x/>
      <x v="26"/>
      <x/>
    </i>
    <i r="4">
      <x v="12"/>
      <x/>
      <x v="26"/>
      <x/>
    </i>
    <i r="1">
      <x v="22"/>
      <x v="6"/>
      <x v="9"/>
      <x v="2"/>
      <x/>
      <x v="26"/>
      <x/>
    </i>
    <i r="4">
      <x v="3"/>
      <x/>
      <x v="26"/>
      <x/>
    </i>
    <i r="1">
      <x v="25"/>
      <x v="26"/>
      <x v="9"/>
      <x v="12"/>
      <x/>
      <x v="26"/>
      <x/>
    </i>
    <i>
      <x v="1"/>
      <x v="11"/>
      <x v="10"/>
      <x v="1"/>
      <x/>
      <x v="2"/>
      <x v="69"/>
      <x/>
    </i>
    <i r="3">
      <x v="2"/>
      <x v="5"/>
      <x v="2"/>
      <x v="64"/>
      <x/>
    </i>
    <i r="3">
      <x v="3"/>
      <x v="14"/>
      <x v="2"/>
      <x v="59"/>
      <x/>
    </i>
    <i r="3">
      <x v="4"/>
      <x v="1"/>
      <x v="2"/>
      <x v="65"/>
      <x/>
    </i>
    <i r="3">
      <x v="5"/>
      <x v="4"/>
      <x v="2"/>
      <x v="61"/>
      <x/>
    </i>
    <i r="3">
      <x v="6"/>
      <x v="10"/>
      <x v="2"/>
      <x v="60"/>
      <x/>
    </i>
    <i r="3">
      <x v="7"/>
      <x v="9"/>
      <x v="2"/>
      <x v="68"/>
      <x/>
    </i>
    <i r="3">
      <x v="8"/>
      <x v="11"/>
      <x v="2"/>
      <x v="63"/>
      <x/>
    </i>
    <i r="3">
      <x v="10"/>
      <x v="6"/>
      <x v="2"/>
      <x v="67"/>
      <x/>
    </i>
    <i r="3">
      <x v="11"/>
      <x v="13"/>
      <x v="2"/>
      <x v="62"/>
      <x/>
    </i>
    <i r="3">
      <x v="12"/>
      <x v="8"/>
      <x v="2"/>
      <x v="66"/>
      <x/>
    </i>
    <i r="1">
      <x v="12"/>
      <x v="16"/>
      <x v="1"/>
      <x/>
      <x v="2"/>
      <x v="52"/>
      <x/>
    </i>
    <i r="3">
      <x v="2"/>
      <x v="5"/>
      <x v="2"/>
      <x v="50"/>
      <x/>
    </i>
    <i r="3">
      <x v="3"/>
      <x v="14"/>
      <x v="2"/>
      <x v="23"/>
      <x/>
    </i>
    <i r="3">
      <x v="4"/>
      <x v="1"/>
      <x v="2"/>
      <x v="27"/>
      <x/>
    </i>
    <i r="3">
      <x v="6"/>
      <x v="10"/>
      <x v="2"/>
      <x v="43"/>
      <x/>
    </i>
    <i r="3">
      <x v="7"/>
      <x v="9"/>
      <x v="2"/>
      <x v="41"/>
      <x/>
    </i>
    <i r="3">
      <x v="8"/>
      <x v="11"/>
      <x v="2"/>
      <x v="46"/>
      <x/>
    </i>
    <i r="3">
      <x v="10"/>
      <x v="6"/>
      <x v="2"/>
      <x v="36"/>
      <x/>
    </i>
    <i r="3">
      <x v="11"/>
      <x v="13"/>
      <x v="2"/>
      <x v="45"/>
      <x/>
    </i>
    <i r="3">
      <x v="12"/>
      <x v="8"/>
      <x v="2"/>
      <x v="40"/>
      <x/>
    </i>
    <i r="1">
      <x v="13"/>
      <x v="8"/>
      <x v="3"/>
      <x v="14"/>
      <x v="2"/>
      <x v="55"/>
      <x/>
    </i>
    <i r="3">
      <x v="4"/>
      <x v="1"/>
      <x v="2"/>
      <x v="57"/>
      <x/>
    </i>
    <i r="3">
      <x v="5"/>
      <x v="4"/>
      <x v="2"/>
      <x v="56"/>
      <x/>
    </i>
    <i r="3">
      <x v="6"/>
      <x v="10"/>
      <x v="2"/>
      <x v="56"/>
      <x/>
    </i>
    <i r="3">
      <x v="12"/>
      <x v="8"/>
      <x v="2"/>
      <x v="57"/>
      <x/>
    </i>
    <i r="1">
      <x v="14"/>
      <x v="13"/>
      <x v="3"/>
      <x v="14"/>
      <x v="2"/>
      <x v="58"/>
      <x/>
    </i>
    <i r="3">
      <x v="4"/>
      <x v="1"/>
      <x v="2"/>
      <x v="22"/>
      <x/>
    </i>
    <i r="3">
      <x v="5"/>
      <x v="4"/>
      <x v="2"/>
      <x v="51"/>
      <x/>
    </i>
    <i r="3">
      <x v="6"/>
      <x v="10"/>
      <x v="2"/>
      <x v="51"/>
      <x/>
    </i>
    <i r="3">
      <x v="12"/>
      <x v="8"/>
      <x v="2"/>
      <x v="22"/>
      <x/>
    </i>
    <i r="1">
      <x v="15"/>
      <x v="9"/>
      <x v="9"/>
      <x v="2"/>
      <x v="2"/>
      <x v="48"/>
      <x/>
    </i>
    <i r="4">
      <x v="3"/>
      <x v="2"/>
      <x v="20"/>
      <x/>
    </i>
    <i r="4">
      <x v="12"/>
      <x v="2"/>
      <x v="49"/>
      <x/>
    </i>
    <i r="1">
      <x v="16"/>
      <x v="14"/>
      <x v="9"/>
      <x v="2"/>
      <x v="2"/>
      <x v="38"/>
      <x/>
    </i>
    <i r="4">
      <x v="3"/>
      <x v="2"/>
      <x v="20"/>
      <x/>
    </i>
    <i r="4">
      <x v="12"/>
      <x v="2"/>
      <x v="35"/>
      <x/>
    </i>
    <i r="1">
      <x v="17"/>
      <x v="12"/>
      <x v="1"/>
      <x/>
      <x v="2"/>
      <x v="39"/>
      <x/>
    </i>
    <i r="3">
      <x v="2"/>
      <x v="5"/>
      <x v="2"/>
      <x v="50"/>
      <x/>
    </i>
    <i r="3">
      <x v="3"/>
      <x v="14"/>
      <x v="2"/>
      <x v="34"/>
      <x/>
    </i>
    <i r="3">
      <x v="4"/>
      <x v="1"/>
      <x v="2"/>
      <x v="24"/>
      <x/>
    </i>
    <i r="3">
      <x v="5"/>
      <x v="4"/>
      <x v="2"/>
      <x v="31"/>
      <x/>
    </i>
    <i r="3">
      <x v="6"/>
      <x v="10"/>
      <x v="2"/>
      <x v="44"/>
      <x/>
    </i>
    <i r="3">
      <x v="7"/>
      <x v="9"/>
      <x v="2"/>
      <x v="42"/>
      <x/>
    </i>
    <i r="3">
      <x v="8"/>
      <x v="11"/>
      <x v="2"/>
      <x v="47"/>
      <x/>
    </i>
    <i r="3">
      <x v="9"/>
      <x v="2"/>
      <x v="2"/>
      <x v="38"/>
      <x/>
    </i>
    <i r="4">
      <x v="3"/>
      <x v="2"/>
      <x v="54"/>
      <x/>
    </i>
    <i r="4">
      <x v="12"/>
      <x v="2"/>
      <x v="35"/>
      <x/>
    </i>
    <i r="3">
      <x v="10"/>
      <x v="6"/>
      <x v="2"/>
      <x v="37"/>
      <x/>
    </i>
    <i r="3">
      <x v="11"/>
      <x v="13"/>
      <x v="2"/>
      <x v="45"/>
      <x/>
    </i>
    <i r="3">
      <x v="12"/>
      <x v="8"/>
      <x v="2"/>
      <x v="40"/>
      <x/>
    </i>
    <i>
      <x v="2"/>
      <x v="7"/>
      <x v="17"/>
      <x v="9"/>
      <x v="12"/>
      <x v="2"/>
      <x v="3"/>
      <x/>
    </i>
    <i r="1">
      <x v="8"/>
      <x v="3"/>
      <x v="9"/>
      <x v="12"/>
      <x v="2"/>
      <x v="33"/>
      <x/>
    </i>
    <i r="1">
      <x v="18"/>
      <x v="20"/>
      <x v="9"/>
      <x v="12"/>
      <x v="2"/>
      <x/>
      <x/>
    </i>
    <i r="1">
      <x v="30"/>
      <x v="7"/>
      <x v="9"/>
      <x v="2"/>
      <x v="2"/>
      <x v="38"/>
      <x/>
    </i>
    <i r="4">
      <x v="3"/>
      <x v="2"/>
      <x v="54"/>
      <x/>
    </i>
    <i r="4">
      <x v="12"/>
      <x v="2"/>
      <x v="28"/>
      <x/>
    </i>
    <i>
      <x v="3"/>
      <x v="19"/>
      <x v="18"/>
      <x v="1"/>
      <x/>
      <x v="2"/>
      <x v="32"/>
      <x/>
    </i>
    <i r="3">
      <x v="2"/>
      <x v="5"/>
      <x v="2"/>
      <x v="32"/>
      <x/>
    </i>
    <i r="3">
      <x v="3"/>
      <x v="14"/>
      <x v="2"/>
      <x v="32"/>
      <x/>
    </i>
    <i r="3">
      <x v="4"/>
      <x v="1"/>
      <x v="2"/>
      <x v="32"/>
      <x/>
    </i>
    <i r="3">
      <x v="5"/>
      <x v="4"/>
      <x v="2"/>
      <x v="32"/>
      <x/>
    </i>
    <i r="3">
      <x v="6"/>
      <x v="10"/>
      <x v="2"/>
      <x v="32"/>
      <x/>
    </i>
    <i r="3">
      <x v="7"/>
      <x v="9"/>
      <x v="2"/>
      <x v="32"/>
      <x/>
    </i>
    <i r="3">
      <x v="8"/>
      <x v="11"/>
      <x v="2"/>
      <x v="32"/>
      <x/>
    </i>
    <i r="3">
      <x v="9"/>
      <x v="2"/>
      <x v="2"/>
      <x v="32"/>
      <x/>
    </i>
    <i r="4">
      <x v="3"/>
      <x v="2"/>
      <x v="32"/>
      <x/>
    </i>
    <i r="4">
      <x v="12"/>
      <x v="2"/>
      <x v="32"/>
      <x/>
    </i>
    <i r="3">
      <x v="10"/>
      <x v="6"/>
      <x v="2"/>
      <x v="32"/>
      <x/>
    </i>
    <i r="3">
      <x v="11"/>
      <x v="13"/>
      <x v="2"/>
      <x v="32"/>
      <x/>
    </i>
    <i r="3">
      <x v="12"/>
      <x v="8"/>
      <x v="2"/>
      <x v="32"/>
      <x/>
    </i>
    <i r="1">
      <x v="20"/>
      <x v="19"/>
      <x v="1"/>
      <x/>
      <x v="2"/>
      <x v="53"/>
      <x/>
    </i>
    <i r="3">
      <x v="2"/>
      <x v="5"/>
      <x v="2"/>
      <x v="53"/>
      <x/>
    </i>
    <i r="3">
      <x v="3"/>
      <x v="14"/>
      <x v="2"/>
      <x v="53"/>
      <x/>
    </i>
    <i r="3">
      <x v="4"/>
      <x v="1"/>
      <x v="2"/>
      <x v="53"/>
      <x/>
    </i>
    <i r="3">
      <x v="5"/>
      <x v="4"/>
      <x v="2"/>
      <x v="53"/>
      <x/>
    </i>
    <i r="3">
      <x v="6"/>
      <x v="10"/>
      <x v="2"/>
      <x v="53"/>
      <x/>
    </i>
    <i r="3">
      <x v="7"/>
      <x v="9"/>
      <x v="2"/>
      <x v="53"/>
      <x/>
    </i>
    <i r="3">
      <x v="8"/>
      <x v="11"/>
      <x v="2"/>
      <x v="53"/>
      <x/>
    </i>
    <i r="3">
      <x v="9"/>
      <x v="2"/>
      <x v="2"/>
      <x v="53"/>
      <x/>
    </i>
    <i r="4">
      <x v="3"/>
      <x v="2"/>
      <x v="53"/>
      <x/>
    </i>
    <i r="4">
      <x v="12"/>
      <x v="2"/>
      <x v="53"/>
      <x/>
    </i>
    <i r="3">
      <x v="10"/>
      <x v="6"/>
      <x v="2"/>
      <x v="53"/>
      <x/>
    </i>
    <i r="3">
      <x v="11"/>
      <x v="13"/>
      <x v="2"/>
      <x v="53"/>
      <x/>
    </i>
    <i r="3">
      <x v="12"/>
      <x v="8"/>
      <x v="2"/>
      <x v="53"/>
      <x/>
    </i>
    <i>
      <x v="4"/>
      <x v="2"/>
      <x/>
      <x/>
      <x v="7"/>
      <x v="2"/>
      <x v="25"/>
      <x/>
    </i>
    <i r="1">
      <x v="21"/>
      <x v="15"/>
      <x/>
      <x v="7"/>
      <x v="2"/>
      <x v="30"/>
      <x/>
    </i>
    <i>
      <x v="5"/>
      <x/>
      <x v="23"/>
      <x v="9"/>
      <x v="2"/>
      <x v="1"/>
      <x v="7"/>
      <x v="2"/>
    </i>
    <i r="4">
      <x v="3"/>
      <x v="1"/>
      <x v="7"/>
      <x v="2"/>
    </i>
    <i r="4">
      <x v="12"/>
      <x v="1"/>
      <x v="7"/>
      <x v="2"/>
    </i>
    <i r="1">
      <x v="3"/>
      <x v="4"/>
      <x v="2"/>
      <x v="5"/>
      <x v="1"/>
      <x v="11"/>
      <x v="5"/>
    </i>
    <i r="1">
      <x v="9"/>
      <x v="1"/>
      <x v="2"/>
      <x v="5"/>
      <x v="1"/>
      <x v="12"/>
      <x v="5"/>
    </i>
    <i r="3">
      <x v="4"/>
      <x v="1"/>
      <x v="1"/>
      <x v="15"/>
      <x v="5"/>
    </i>
    <i r="3">
      <x v="11"/>
      <x v="13"/>
      <x v="1"/>
      <x v="17"/>
      <x v="5"/>
    </i>
    <i r="3">
      <x v="12"/>
      <x v="8"/>
      <x v="1"/>
      <x v="15"/>
      <x v="5"/>
    </i>
    <i r="1">
      <x v="10"/>
      <x v="5"/>
      <x v="11"/>
      <x v="13"/>
      <x v="1"/>
      <x v="15"/>
      <x v="5"/>
    </i>
    <i r="1">
      <x v="24"/>
      <x v="28"/>
      <x v="7"/>
      <x v="9"/>
      <x v="1"/>
      <x v="5"/>
      <x v="1"/>
    </i>
    <i r="1">
      <x v="26"/>
      <x v="27"/>
      <x v="3"/>
      <x v="14"/>
      <x v="1"/>
      <x v="10"/>
      <x v="5"/>
    </i>
    <i r="3">
      <x v="8"/>
      <x v="11"/>
      <x v="1"/>
      <x v="10"/>
      <x v="5"/>
    </i>
    <i r="1">
      <x v="27"/>
      <x v="21"/>
      <x v="11"/>
      <x v="13"/>
      <x v="1"/>
      <x v="21"/>
      <x v="4"/>
    </i>
    <i r="1">
      <x v="29"/>
      <x v="30"/>
      <x v="2"/>
      <x v="5"/>
      <x v="1"/>
      <x v="10"/>
      <x v="5"/>
    </i>
    <i r="3">
      <x v="4"/>
      <x v="1"/>
      <x v="1"/>
      <x v="14"/>
      <x v="5"/>
    </i>
    <i r="3">
      <x v="12"/>
      <x v="8"/>
      <x v="1"/>
      <x v="14"/>
      <x v="5"/>
    </i>
  </rowItems>
  <colItems count="1">
    <i/>
  </colItems>
  <pageFields count="1">
    <pageField fld="14" hier="-1"/>
  </pageFields>
  <formats count="115">
    <format dxfId="135">
      <pivotArea field="13" type="button" dataOnly="0" labelOnly="1" outline="0" axis="axisRow" fieldPosition="6"/>
    </format>
    <format dxfId="134">
      <pivotArea field="12" type="button" dataOnly="0" labelOnly="1" outline="0" axis="axisRow" fieldPosition="7"/>
    </format>
    <format dxfId="133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32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31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5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3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7"/>
          </reference>
          <reference field="8" count="1" selected="0">
            <x v="0"/>
          </reference>
          <reference field="9" count="1" selected="0">
            <x v="29"/>
          </reference>
          <reference field="10" count="1" selected="0">
            <x v="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9"/>
          </reference>
        </references>
      </pivotArea>
    </format>
    <format dxfId="129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8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7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2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6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0"/>
          </reference>
          <reference field="9" count="1" selected="0">
            <x v="6"/>
          </reference>
          <reference field="10" count="1" selected="0">
            <x v="22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5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0"/>
          </reference>
          <reference field="9" count="1" selected="0">
            <x v="6"/>
          </reference>
          <reference field="10" count="1" selected="0">
            <x v="22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4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0"/>
          </reference>
          <reference field="9" count="1" selected="0">
            <x v="26"/>
          </reference>
          <reference field="10" count="1" selected="0">
            <x v="25"/>
          </reference>
          <reference field="11" count="1" selected="0">
            <x v="0"/>
          </reference>
          <reference field="12" count="1">
            <x v="0"/>
          </reference>
          <reference field="13" count="1" selected="0">
            <x v="26"/>
          </reference>
        </references>
      </pivotArea>
    </format>
    <format dxfId="123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9"/>
          </reference>
        </references>
      </pivotArea>
    </format>
    <format dxfId="122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4"/>
          </reference>
        </references>
      </pivotArea>
    </format>
    <format dxfId="121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9"/>
          </reference>
        </references>
      </pivotArea>
    </format>
    <format dxfId="120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5"/>
          </reference>
        </references>
      </pivotArea>
    </format>
    <format dxfId="119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1"/>
          </reference>
        </references>
      </pivotArea>
    </format>
    <format dxfId="118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0"/>
          </reference>
        </references>
      </pivotArea>
    </format>
    <format dxfId="117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8"/>
          </reference>
        </references>
      </pivotArea>
    </format>
    <format dxfId="116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3"/>
          </reference>
        </references>
      </pivotArea>
    </format>
    <format dxfId="115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7"/>
          </reference>
        </references>
      </pivotArea>
    </format>
    <format dxfId="114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2"/>
          </reference>
        </references>
      </pivotArea>
    </format>
    <format dxfId="11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0"/>
          </reference>
          <reference field="10" count="1" selected="0">
            <x v="1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66"/>
          </reference>
        </references>
      </pivotArea>
    </format>
    <format dxfId="112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2"/>
          </reference>
        </references>
      </pivotArea>
    </format>
    <format dxfId="111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0"/>
          </reference>
        </references>
      </pivotArea>
    </format>
    <format dxfId="110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3"/>
          </reference>
        </references>
      </pivotArea>
    </format>
    <format dxfId="109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7"/>
          </reference>
        </references>
      </pivotArea>
    </format>
    <format dxfId="108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3"/>
          </reference>
        </references>
      </pivotArea>
    </format>
    <format dxfId="107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1"/>
          </reference>
        </references>
      </pivotArea>
    </format>
    <format dxfId="106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6"/>
          </reference>
        </references>
      </pivotArea>
    </format>
    <format dxfId="105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6"/>
          </reference>
        </references>
      </pivotArea>
    </format>
    <format dxfId="104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5"/>
          </reference>
        </references>
      </pivotArea>
    </format>
    <format dxfId="10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0"/>
          </reference>
        </references>
      </pivotArea>
    </format>
    <format dxfId="102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5"/>
          </reference>
        </references>
      </pivotArea>
    </format>
    <format dxfId="101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7"/>
          </reference>
        </references>
      </pivotArea>
    </format>
    <format dxfId="100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6"/>
          </reference>
        </references>
      </pivotArea>
    </format>
    <format dxfId="99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6"/>
          </reference>
        </references>
      </pivotArea>
    </format>
    <format dxfId="98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8"/>
          </reference>
          <reference field="10" count="1" selected="0">
            <x v="13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7"/>
          </reference>
        </references>
      </pivotArea>
    </format>
    <format dxfId="97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8"/>
          </reference>
        </references>
      </pivotArea>
    </format>
    <format dxfId="96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2"/>
          </reference>
        </references>
      </pivotArea>
    </format>
    <format dxfId="95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1"/>
          </reference>
        </references>
      </pivotArea>
    </format>
    <format dxfId="94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1"/>
          </reference>
        </references>
      </pivotArea>
    </format>
    <format dxfId="9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4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2"/>
          </reference>
        </references>
      </pivotArea>
    </format>
    <format dxfId="92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8"/>
          </reference>
        </references>
      </pivotArea>
    </format>
    <format dxfId="91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0"/>
          </reference>
        </references>
      </pivotArea>
    </format>
    <format dxfId="90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9"/>
          </reference>
          <reference field="10" count="1" selected="0">
            <x v="15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9"/>
          </reference>
        </references>
      </pivotArea>
    </format>
    <format dxfId="89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8"/>
          </reference>
        </references>
      </pivotArea>
    </format>
    <format dxfId="88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0"/>
          </reference>
        </references>
      </pivotArea>
    </format>
    <format dxfId="87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16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5"/>
          </reference>
        </references>
      </pivotArea>
    </format>
    <format dxfId="86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9"/>
          </reference>
        </references>
      </pivotArea>
    </format>
    <format dxfId="85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0"/>
          </reference>
        </references>
      </pivotArea>
    </format>
    <format dxfId="84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4"/>
          </reference>
        </references>
      </pivotArea>
    </format>
    <format dxfId="83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4"/>
          </reference>
        </references>
      </pivotArea>
    </format>
    <format dxfId="82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1"/>
          </reference>
        </references>
      </pivotArea>
    </format>
    <format dxfId="81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4"/>
          </reference>
        </references>
      </pivotArea>
    </format>
    <format dxfId="80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2"/>
          </reference>
        </references>
      </pivotArea>
    </format>
    <format dxfId="79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7"/>
          </reference>
        </references>
      </pivotArea>
    </format>
    <format dxfId="78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8"/>
          </reference>
        </references>
      </pivotArea>
    </format>
    <format dxfId="77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4"/>
          </reference>
        </references>
      </pivotArea>
    </format>
    <format dxfId="76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5"/>
          </reference>
        </references>
      </pivotArea>
    </format>
    <format dxfId="75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6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7"/>
          </reference>
        </references>
      </pivotArea>
    </format>
    <format dxfId="74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5"/>
          </reference>
        </references>
      </pivotArea>
    </format>
    <format dxfId="7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40"/>
          </reference>
        </references>
      </pivotArea>
    </format>
    <format dxfId="72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17"/>
          </reference>
          <reference field="10" count="1" selected="0">
            <x v="7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"/>
          </reference>
        </references>
      </pivotArea>
    </format>
    <format dxfId="71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3"/>
          </reference>
          <reference field="10" count="1" selected="0">
            <x v="8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3"/>
          </reference>
        </references>
      </pivotArea>
    </format>
    <format dxfId="70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20"/>
          </reference>
          <reference field="10" count="1" selected="0">
            <x v="18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0"/>
          </reference>
        </references>
      </pivotArea>
    </format>
    <format dxfId="69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8"/>
          </reference>
        </references>
      </pivotArea>
    </format>
    <format dxfId="68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4"/>
          </reference>
        </references>
      </pivotArea>
    </format>
    <format dxfId="67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2"/>
          </reference>
          <reference field="9" count="1" selected="0">
            <x v="7"/>
          </reference>
          <reference field="10" count="1" selected="0">
            <x v="3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8"/>
          </reference>
        </references>
      </pivotArea>
    </format>
    <format dxfId="66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5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4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3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2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1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60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9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8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7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6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5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6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4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3"/>
          </reference>
          <reference field="9" count="1" selected="0">
            <x v="18"/>
          </reference>
          <reference field="10" count="1" selected="0">
            <x v="19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2"/>
          </reference>
        </references>
      </pivotArea>
    </format>
    <format dxfId="52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51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50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9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8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4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7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0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6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5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4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3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2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1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6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40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39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3"/>
          </reference>
          <reference field="9" count="1" selected="0">
            <x v="19"/>
          </reference>
          <reference field="10" count="1" selected="0">
            <x v="20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53"/>
          </reference>
        </references>
      </pivotArea>
    </format>
    <format dxfId="3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7"/>
          </reference>
          <reference field="8" count="1" selected="0">
            <x v="4"/>
          </reference>
          <reference field="9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25"/>
          </reference>
        </references>
      </pivotArea>
    </format>
    <format dxfId="37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7"/>
          </reference>
          <reference field="8" count="1" selected="0">
            <x v="4"/>
          </reference>
          <reference field="9" count="1" selected="0">
            <x v="15"/>
          </reference>
          <reference field="10" count="1" selected="0">
            <x v="21"/>
          </reference>
          <reference field="11" count="1" selected="0">
            <x v="2"/>
          </reference>
          <reference field="12" count="1">
            <x v="0"/>
          </reference>
          <reference field="13" count="1" selected="0">
            <x v="30"/>
          </reference>
        </references>
      </pivotArea>
    </format>
    <format dxfId="36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"/>
          </reference>
          <reference field="13" count="1" selected="0">
            <x v="7"/>
          </reference>
        </references>
      </pivotArea>
    </format>
    <format dxfId="35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3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"/>
          </reference>
          <reference field="13" count="1" selected="0">
            <x v="7"/>
          </reference>
        </references>
      </pivotArea>
    </format>
    <format dxfId="34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2"/>
          </reference>
          <reference field="8" count="1" selected="0">
            <x v="5"/>
          </reference>
          <reference field="9" count="1" selected="0">
            <x v="23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"/>
          </reference>
          <reference field="13" count="1" selected="0">
            <x v="7"/>
          </reference>
        </references>
      </pivotArea>
    </format>
    <format dxfId="33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4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1"/>
          </reference>
        </references>
      </pivotArea>
    </format>
    <format dxfId="32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2"/>
          </reference>
        </references>
      </pivotArea>
    </format>
    <format dxfId="31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5"/>
          </reference>
        </references>
      </pivotArea>
    </format>
    <format dxfId="30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7"/>
          </reference>
        </references>
      </pivotArea>
    </format>
    <format dxfId="29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1"/>
          </reference>
          <reference field="10" count="1" selected="0">
            <x v="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5"/>
          </reference>
        </references>
      </pivotArea>
    </format>
    <format dxfId="28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5"/>
          </reference>
          <reference field="10" count="1" selected="0">
            <x v="10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5"/>
          </reference>
        </references>
      </pivotArea>
    </format>
    <format dxfId="27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9"/>
          </reference>
          <reference field="8" count="1" selected="0">
            <x v="5"/>
          </reference>
          <reference field="9" count="1" selected="0">
            <x v="28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1"/>
          </reference>
          <reference field="13" count="1" selected="0">
            <x v="5"/>
          </reference>
        </references>
      </pivotArea>
    </format>
    <format dxfId="26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4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0"/>
          </reference>
        </references>
      </pivotArea>
    </format>
    <format dxfId="25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1"/>
          </reference>
          <reference field="8" count="1" selected="0">
            <x v="5"/>
          </reference>
          <reference field="9" count="1" selected="0">
            <x v="2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0"/>
          </reference>
        </references>
      </pivotArea>
    </format>
    <format dxfId="24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3"/>
          </reference>
          <reference field="8" count="1" selected="0">
            <x v="5"/>
          </reference>
          <reference field="9" count="1" selected="0">
            <x v="21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4"/>
          </reference>
          <reference field="13" count="1" selected="0">
            <x v="21"/>
          </reference>
        </references>
      </pivotArea>
    </format>
    <format dxfId="23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5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0"/>
          </reference>
        </references>
      </pivotArea>
    </format>
    <format dxfId="22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4"/>
          </reference>
        </references>
      </pivotArea>
    </format>
    <format dxfId="21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8"/>
          </reference>
          <reference field="8" count="1" selected="0">
            <x v="5"/>
          </reference>
          <reference field="9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2" count="1">
            <x v="5"/>
          </reference>
          <reference field="13" count="1" selected="0">
            <x v="14"/>
          </reference>
        </references>
      </pivotArea>
    </format>
  </formats>
  <pivotTableStyleInfo name="1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47422-55CE-43CE-AC3E-FEEBB661ABA6}" name="Сводная таблица3" cacheId="0" applyNumberFormats="0" applyBorderFormats="0" applyFontFormats="0" applyPatternFormats="0" applyAlignmentFormats="0" applyWidthHeightFormats="1" dataCaption="Значения" showMissing="0" updatedVersion="7" minRefreshableVersion="3" showDrill="0" rowGrandTotals="0" colGrandTotals="0" itemPrintTitles="1" createdVersion="7" indent="0" compact="0" compactData="0" multipleFieldFilters="0">
  <location ref="A3:E31" firstHeaderRow="1" firstDataRow="1" firstDataCol="5" rowPageCount="1" colPageCount="1"/>
  <pivotFields count="15">
    <pivotField compact="0" outline="0" showAll="0"/>
    <pivotField compact="0" outline="0" showAll="0"/>
    <pivotField compact="0" outline="0" showAll="0"/>
    <pivotField compact="0" outline="0" showAll="0" defaultSubtotal="0">
      <items count="13">
        <item x="0"/>
        <item x="1"/>
        <item x="4"/>
        <item x="10"/>
        <item x="9"/>
        <item x="11"/>
        <item x="12"/>
        <item x="6"/>
        <item x="7"/>
        <item x="2"/>
        <item x="5"/>
        <item x="3"/>
        <item x="8"/>
      </items>
    </pivotField>
    <pivotField compact="0" outline="0" showAll="0" defaultSubtotal="0">
      <items count="15">
        <item x="1"/>
        <item x="11"/>
        <item x="4"/>
        <item x="3"/>
        <item x="13"/>
        <item x="6"/>
        <item x="7"/>
        <item x="0"/>
        <item x="10"/>
        <item x="8"/>
        <item x="14"/>
        <item x="9"/>
        <item x="2"/>
        <item x="5"/>
        <item x="12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6">
        <item x="1"/>
        <item x="2"/>
        <item x="5"/>
        <item x="4"/>
        <item x="0"/>
        <item x="3"/>
      </items>
    </pivotField>
    <pivotField axis="axisRow" compact="0" outline="0" showAll="0" defaultSubtotal="0">
      <items count="31">
        <item x="1"/>
        <item x="7"/>
        <item x="28"/>
        <item x="16"/>
        <item x="24"/>
        <item x="9"/>
        <item x="22"/>
        <item x="15"/>
        <item x="26"/>
        <item x="12"/>
        <item x="3"/>
        <item x="30"/>
        <item x="4"/>
        <item x="27"/>
        <item x="13"/>
        <item x="0"/>
        <item x="5"/>
        <item x="17"/>
        <item x="10"/>
        <item x="11"/>
        <item x="18"/>
        <item x="6"/>
        <item x="20"/>
        <item x="14"/>
        <item x="29"/>
        <item x="19"/>
        <item x="21"/>
        <item x="23"/>
        <item x="25"/>
        <item x="2"/>
        <item x="8"/>
      </items>
    </pivotField>
    <pivotField axis="axisRow" compact="0" outline="0" showAll="0" sortType="ascending" defaultSubtotal="0">
      <items count="31">
        <item x="14"/>
        <item x="19"/>
        <item x="1"/>
        <item x="24"/>
        <item x="2"/>
        <item x="29"/>
        <item x="20"/>
        <item x="17"/>
        <item x="16"/>
        <item x="7"/>
        <item x="9"/>
        <item x="3"/>
        <item x="5"/>
        <item x="26"/>
        <item x="27"/>
        <item x="12"/>
        <item x="13"/>
        <item x="4"/>
        <item x="18"/>
        <item x="10"/>
        <item x="11"/>
        <item x="0"/>
        <item x="22"/>
        <item x="28"/>
        <item x="25"/>
        <item x="21"/>
        <item x="23"/>
        <item x="6"/>
        <item x="30"/>
        <item x="8"/>
        <item x="15"/>
      </items>
    </pivotField>
    <pivotField axis="axisRow" compact="0" outline="0" showAll="0" defaultSubtotal="0">
      <items count="3">
        <item x="2"/>
        <item x="1"/>
        <item x="0"/>
      </items>
    </pivotField>
    <pivotField axis="axisRow" compact="0" outline="0" showAll="0" defaultSubtotal="0">
      <items count="6">
        <item x="0"/>
        <item x="4"/>
        <item x="3"/>
        <item x="5"/>
        <item x="1"/>
        <item x="2"/>
      </items>
    </pivotField>
    <pivotField compact="0" outline="0" showAll="0" defaultSubtotal="0">
      <items count="70">
        <item x="19"/>
        <item x="66"/>
        <item x="61"/>
        <item x="18"/>
        <item x="8"/>
        <item x="39"/>
        <item x="6"/>
        <item x="14"/>
        <item x="15"/>
        <item x="59"/>
        <item x="28"/>
        <item x="7"/>
        <item x="32"/>
        <item x="50"/>
        <item x="49"/>
        <item x="27"/>
        <item x="60"/>
        <item x="13"/>
        <item x="44"/>
        <item x="43"/>
        <item x="21"/>
        <item x="29"/>
        <item x="48"/>
        <item x="58"/>
        <item x="52"/>
        <item x="1"/>
        <item x="20"/>
        <item x="53"/>
        <item x="16"/>
        <item x="2"/>
        <item x="0"/>
        <item x="64"/>
        <item x="9"/>
        <item x="17"/>
        <item x="56"/>
        <item x="12"/>
        <item x="35"/>
        <item x="34"/>
        <item x="24"/>
        <item x="4"/>
        <item x="47"/>
        <item x="38"/>
        <item x="37"/>
        <item x="69"/>
        <item x="68"/>
        <item x="26"/>
        <item x="42"/>
        <item x="41"/>
        <item x="23"/>
        <item x="11"/>
        <item x="31"/>
        <item x="65"/>
        <item x="5"/>
        <item x="10"/>
        <item x="22"/>
        <item x="55"/>
        <item x="63"/>
        <item x="46"/>
        <item x="57"/>
        <item x="54"/>
        <item x="67"/>
        <item x="62"/>
        <item x="25"/>
        <item x="40"/>
        <item x="30"/>
        <item x="51"/>
        <item x="45"/>
        <item x="33"/>
        <item x="36"/>
        <item x="3"/>
      </items>
    </pivotField>
    <pivotField axis="axisPage" compact="0" outline="0" multipleItemSelectionAllowed="1" showAll="0" defaultSubtotal="0">
      <items count="4">
        <item h="1" m="1" x="3"/>
        <item m="1" x="2"/>
        <item x="0"/>
        <item h="1" x="1"/>
      </items>
    </pivotField>
  </pivotFields>
  <rowFields count="5">
    <field x="8"/>
    <field x="10"/>
    <field x="9"/>
    <field x="11"/>
    <field x="12"/>
  </rowFields>
  <rowItems count="28">
    <i>
      <x/>
      <x v="1"/>
      <x v="25"/>
      <x/>
      <x/>
    </i>
    <i r="1">
      <x v="4"/>
      <x v="29"/>
      <x v="2"/>
      <x/>
    </i>
    <i r="1">
      <x v="6"/>
      <x v="22"/>
      <x/>
      <x/>
    </i>
    <i r="1">
      <x v="22"/>
      <x v="6"/>
      <x/>
      <x/>
    </i>
    <i r="1">
      <x v="25"/>
      <x v="26"/>
      <x/>
      <x/>
    </i>
    <i>
      <x v="1"/>
      <x v="11"/>
      <x v="10"/>
      <x v="2"/>
      <x/>
    </i>
    <i r="1">
      <x v="12"/>
      <x v="16"/>
      <x v="2"/>
      <x/>
    </i>
    <i r="1">
      <x v="13"/>
      <x v="8"/>
      <x v="2"/>
      <x/>
    </i>
    <i r="1">
      <x v="14"/>
      <x v="13"/>
      <x v="2"/>
      <x/>
    </i>
    <i r="1">
      <x v="15"/>
      <x v="9"/>
      <x v="2"/>
      <x/>
    </i>
    <i r="1">
      <x v="16"/>
      <x v="14"/>
      <x v="2"/>
      <x/>
    </i>
    <i r="1">
      <x v="17"/>
      <x v="12"/>
      <x v="2"/>
      <x/>
    </i>
    <i>
      <x v="2"/>
      <x v="7"/>
      <x v="17"/>
      <x v="2"/>
      <x/>
    </i>
    <i r="1">
      <x v="8"/>
      <x v="3"/>
      <x v="2"/>
      <x/>
    </i>
    <i r="1">
      <x v="18"/>
      <x v="20"/>
      <x v="2"/>
      <x/>
    </i>
    <i r="1">
      <x v="30"/>
      <x v="7"/>
      <x v="2"/>
      <x/>
    </i>
    <i>
      <x v="3"/>
      <x v="19"/>
      <x v="18"/>
      <x v="2"/>
      <x/>
    </i>
    <i r="1">
      <x v="20"/>
      <x v="19"/>
      <x v="2"/>
      <x/>
    </i>
    <i>
      <x v="4"/>
      <x v="2"/>
      <x/>
      <x v="2"/>
      <x/>
    </i>
    <i r="1">
      <x v="21"/>
      <x v="15"/>
      <x v="2"/>
      <x/>
    </i>
    <i>
      <x v="5"/>
      <x/>
      <x v="23"/>
      <x v="1"/>
      <x v="2"/>
    </i>
    <i r="1">
      <x v="3"/>
      <x v="4"/>
      <x v="1"/>
      <x v="5"/>
    </i>
    <i r="1">
      <x v="9"/>
      <x v="1"/>
      <x v="1"/>
      <x v="5"/>
    </i>
    <i r="1">
      <x v="10"/>
      <x v="5"/>
      <x v="1"/>
      <x v="5"/>
    </i>
    <i r="1">
      <x v="24"/>
      <x v="28"/>
      <x v="1"/>
      <x v="1"/>
    </i>
    <i r="1">
      <x v="26"/>
      <x v="27"/>
      <x v="1"/>
      <x v="5"/>
    </i>
    <i r="1">
      <x v="27"/>
      <x v="21"/>
      <x v="1"/>
      <x v="4"/>
    </i>
    <i r="1">
      <x v="29"/>
      <x v="30"/>
      <x v="1"/>
      <x v="5"/>
    </i>
  </rowItems>
  <colItems count="1">
    <i/>
  </colItems>
  <pageFields count="1">
    <pageField fld="14" hier="-1"/>
  </pageFields>
  <formats count="2">
    <format dxfId="19">
      <pivotArea field="13" type="button" dataOnly="0" labelOnly="1" outline="0"/>
    </format>
    <format dxfId="18">
      <pivotArea field="12" type="button" dataOnly="0" labelOnly="1" outline="0" axis="axisRow" fieldPosition="4"/>
    </format>
  </formats>
  <pivotTableStyleInfo name="1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532F0-A46F-4329-B37E-5D48DF4BF81D}" name="Сводная таблица3" cacheId="0" applyNumberFormats="0" applyBorderFormats="0" applyFontFormats="0" applyPatternFormats="0" applyAlignmentFormats="0" applyWidthHeightFormats="1" dataCaption="Значения" showMissing="0" updatedVersion="7" minRefreshableVersion="3" showDrill="0" rowGrandTotals="0" colGrandTotals="0" itemPrintTitles="1" createdVersion="7" indent="0" compact="0" compactData="0" multipleFieldFilters="0">
  <location ref="A3:B15" firstHeaderRow="1" firstDataRow="1" firstDataCol="2" rowPageCount="1" colPageCount="1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3">
        <item x="0"/>
        <item x="1"/>
        <item x="4"/>
        <item x="10"/>
        <item x="9"/>
        <item x="11"/>
        <item x="12"/>
        <item x="6"/>
        <item x="7"/>
        <item x="2"/>
        <item x="5"/>
        <item x="3"/>
        <item x="8"/>
      </items>
    </pivotField>
    <pivotField compact="0" outline="0" showAll="0" defaultSubtotal="0">
      <items count="15">
        <item x="1"/>
        <item x="11"/>
        <item x="4"/>
        <item x="3"/>
        <item x="13"/>
        <item x="6"/>
        <item x="7"/>
        <item x="0"/>
        <item x="10"/>
        <item x="8"/>
        <item x="14"/>
        <item x="9"/>
        <item x="2"/>
        <item x="5"/>
        <item x="12"/>
      </items>
    </pivotField>
    <pivotField axis="axisRow" compact="0" outline="0" showAll="0" defaultSubtotal="0">
      <items count="13">
        <item sd="0" x="3"/>
        <item n="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" sd="0" x="2"/>
        <item sd="0" x="4"/>
        <item sd="0" x="9"/>
        <item sd="0" x="12"/>
        <item sd="0" x="11"/>
        <item sd="0" x="8"/>
        <item sd="0" x="5"/>
        <item sd="0" x="10"/>
        <item sd="0" x="6"/>
        <item sd="0" x="7"/>
        <item sd="0" x="1"/>
        <item h="1" x="0"/>
      </items>
    </pivotField>
    <pivotField compact="0" outline="0" showAll="0"/>
    <pivotField compact="0" outline="0" showAll="0"/>
    <pivotField compact="0" outline="0" showAll="0" sortType="ascending" defaultSubtotal="0">
      <items count="6">
        <item x="1"/>
        <item x="2"/>
        <item x="5"/>
        <item x="4"/>
        <item x="0"/>
        <item x="3"/>
      </items>
    </pivotField>
    <pivotField compact="0" outline="0" showAll="0" defaultSubtotal="0">
      <items count="31">
        <item x="1"/>
        <item x="7"/>
        <item x="28"/>
        <item x="16"/>
        <item x="24"/>
        <item x="9"/>
        <item x="22"/>
        <item x="15"/>
        <item x="26"/>
        <item x="12"/>
        <item x="3"/>
        <item x="30"/>
        <item x="4"/>
        <item x="27"/>
        <item x="13"/>
        <item x="0"/>
        <item x="5"/>
        <item x="17"/>
        <item x="10"/>
        <item x="11"/>
        <item x="18"/>
        <item x="6"/>
        <item x="20"/>
        <item x="14"/>
        <item x="29"/>
        <item x="19"/>
        <item x="21"/>
        <item x="23"/>
        <item x="25"/>
        <item x="2"/>
        <item x="8"/>
      </items>
    </pivotField>
    <pivotField compact="0" outline="0" showAll="0" sortType="ascending" defaultSubtotal="0">
      <items count="31">
        <item x="14"/>
        <item x="19"/>
        <item x="1"/>
        <item x="24"/>
        <item x="2"/>
        <item x="29"/>
        <item x="20"/>
        <item x="17"/>
        <item x="16"/>
        <item x="7"/>
        <item x="9"/>
        <item x="3"/>
        <item x="5"/>
        <item x="26"/>
        <item x="27"/>
        <item x="12"/>
        <item x="13"/>
        <item x="4"/>
        <item x="18"/>
        <item x="10"/>
        <item x="11"/>
        <item x="0"/>
        <item x="22"/>
        <item x="28"/>
        <item x="25"/>
        <item x="21"/>
        <item x="23"/>
        <item x="6"/>
        <item x="30"/>
        <item x="8"/>
        <item x="15"/>
      </items>
    </pivotField>
    <pivotField compact="0" outline="0" showAll="0" defaultSubtotal="0">
      <items count="3">
        <item x="2"/>
        <item x="1"/>
        <item x="0"/>
      </items>
    </pivotField>
    <pivotField compact="0" outline="0" showAll="0" defaultSubtotal="0">
      <items count="6">
        <item x="0"/>
        <item x="4"/>
        <item x="3"/>
        <item x="5"/>
        <item x="1"/>
        <item x="2"/>
      </items>
    </pivotField>
    <pivotField compact="0" outline="0" showAll="0" defaultSubtotal="0">
      <items count="70">
        <item x="19"/>
        <item x="66"/>
        <item x="61"/>
        <item x="18"/>
        <item x="8"/>
        <item x="39"/>
        <item x="6"/>
        <item x="14"/>
        <item x="15"/>
        <item x="59"/>
        <item x="28"/>
        <item x="7"/>
        <item x="32"/>
        <item x="50"/>
        <item x="49"/>
        <item x="27"/>
        <item x="60"/>
        <item x="13"/>
        <item x="44"/>
        <item x="43"/>
        <item x="21"/>
        <item x="29"/>
        <item x="48"/>
        <item x="58"/>
        <item x="52"/>
        <item x="1"/>
        <item x="20"/>
        <item x="53"/>
        <item x="16"/>
        <item x="2"/>
        <item x="0"/>
        <item x="64"/>
        <item x="9"/>
        <item x="17"/>
        <item x="56"/>
        <item x="12"/>
        <item x="35"/>
        <item x="34"/>
        <item x="24"/>
        <item x="4"/>
        <item x="47"/>
        <item x="38"/>
        <item x="37"/>
        <item x="69"/>
        <item x="68"/>
        <item x="26"/>
        <item x="42"/>
        <item x="41"/>
        <item x="23"/>
        <item x="11"/>
        <item x="31"/>
        <item x="65"/>
        <item x="5"/>
        <item x="10"/>
        <item x="22"/>
        <item x="55"/>
        <item x="63"/>
        <item x="46"/>
        <item x="57"/>
        <item x="54"/>
        <item x="67"/>
        <item x="62"/>
        <item x="25"/>
        <item x="40"/>
        <item x="30"/>
        <item x="51"/>
        <item x="45"/>
        <item x="33"/>
        <item x="36"/>
        <item x="3"/>
      </items>
    </pivotField>
    <pivotField axis="axisPage" compact="0" outline="0" multipleItemSelectionAllowed="1" showAll="0" defaultSubtotal="0">
      <items count="4">
        <item h="1" m="1" x="3"/>
        <item m="1" x="2"/>
        <item x="0"/>
        <item h="1" x="1"/>
      </items>
    </pivotField>
  </pivotFields>
  <rowFields count="2">
    <field x="3"/>
    <field x="5"/>
  </rowFields>
  <rowItems count="12">
    <i>
      <x v="1"/>
      <x v="11"/>
    </i>
    <i>
      <x v="2"/>
      <x v="7"/>
    </i>
    <i>
      <x v="3"/>
      <x v="5"/>
    </i>
    <i>
      <x v="4"/>
      <x v="8"/>
    </i>
    <i>
      <x v="5"/>
      <x v="4"/>
    </i>
    <i>
      <x v="7"/>
      <x v="10"/>
    </i>
    <i>
      <x v="8"/>
      <x v="6"/>
    </i>
    <i>
      <x v="9"/>
      <x/>
    </i>
    <i r="1">
      <x v="1"/>
    </i>
    <i>
      <x v="10"/>
      <x v="9"/>
    </i>
    <i>
      <x v="11"/>
      <x v="2"/>
    </i>
    <i>
      <x v="12"/>
      <x v="3"/>
    </i>
  </rowItems>
  <colItems count="1">
    <i/>
  </colItems>
  <pageFields count="1">
    <pageField fld="14" hier="-1"/>
  </pageFields>
  <formats count="17">
    <format dxfId="16">
      <pivotArea field="13" type="button" dataOnly="0" labelOnly="1" outline="0"/>
    </format>
    <format dxfId="15">
      <pivotArea field="12" type="button" dataOnly="0" labelOnly="1" outline="0"/>
    </format>
    <format dxfId="14">
      <pivotArea dataOnly="0" labelOnly="1" outline="0" fieldPosition="0">
        <references count="1">
          <reference field="14" count="0"/>
        </references>
      </pivotArea>
    </format>
    <format dxfId="13">
      <pivotArea field="5" type="button" dataOnly="0" labelOnly="1" outline="0" axis="axisRow" fieldPosition="1"/>
    </format>
    <format dxfId="12">
      <pivotArea dataOnly="0" labelOnly="1" outline="0" fieldPosition="0">
        <references count="2">
          <reference field="3" count="1" selected="0">
            <x v="0"/>
          </reference>
          <reference field="5" count="1">
            <x v="12"/>
          </reference>
        </references>
      </pivotArea>
    </format>
    <format dxfId="11">
      <pivotArea dataOnly="0" labelOnly="1" outline="0" fieldPosition="0">
        <references count="2">
          <reference field="3" count="1" selected="0">
            <x v="1"/>
          </reference>
          <reference field="5" count="1">
            <x v="11"/>
          </reference>
        </references>
      </pivotArea>
    </format>
    <format dxfId="10">
      <pivotArea dataOnly="0" labelOnly="1" outline="0" fieldPosition="0">
        <references count="2">
          <reference field="3" count="1" selected="0">
            <x v="2"/>
          </reference>
          <reference field="5" count="1">
            <x v="7"/>
          </reference>
        </references>
      </pivotArea>
    </format>
    <format dxfId="9">
      <pivotArea dataOnly="0" labelOnly="1" outline="0" fieldPosition="0">
        <references count="2">
          <reference field="3" count="1" selected="0">
            <x v="3"/>
          </reference>
          <reference field="5" count="1">
            <x v="5"/>
          </reference>
        </references>
      </pivotArea>
    </format>
    <format dxfId="8">
      <pivotArea dataOnly="0" labelOnly="1" outline="0" fieldPosition="0">
        <references count="2">
          <reference field="3" count="1" selected="0">
            <x v="4"/>
          </reference>
          <reference field="5" count="1">
            <x v="8"/>
          </reference>
        </references>
      </pivotArea>
    </format>
    <format dxfId="7">
      <pivotArea dataOnly="0" labelOnly="1" outline="0" fieldPosition="0">
        <references count="2">
          <reference field="3" count="1" selected="0">
            <x v="5"/>
          </reference>
          <reference field="5" count="1">
            <x v="4"/>
          </reference>
        </references>
      </pivotArea>
    </format>
    <format dxfId="6">
      <pivotArea dataOnly="0" labelOnly="1" outline="0" fieldPosition="0">
        <references count="2">
          <reference field="3" count="1" selected="0">
            <x v="6"/>
          </reference>
          <reference field="5" count="1">
            <x v="12"/>
          </reference>
        </references>
      </pivotArea>
    </format>
    <format dxfId="5">
      <pivotArea dataOnly="0" labelOnly="1" outline="0" fieldPosition="0">
        <references count="2">
          <reference field="3" count="1" selected="0">
            <x v="7"/>
          </reference>
          <reference field="5" count="1">
            <x v="10"/>
          </reference>
        </references>
      </pivotArea>
    </format>
    <format dxfId="4">
      <pivotArea dataOnly="0" labelOnly="1" outline="0" fieldPosition="0">
        <references count="2">
          <reference field="3" count="1" selected="0">
            <x v="8"/>
          </reference>
          <reference field="5" count="1">
            <x v="6"/>
          </reference>
        </references>
      </pivotArea>
    </format>
    <format dxfId="3">
      <pivotArea dataOnly="0" labelOnly="1" outline="0" fieldPosition="0">
        <references count="2">
          <reference field="3" count="1" selected="0">
            <x v="9"/>
          </reference>
          <reference field="5" count="3">
            <x v="0"/>
            <x v="1"/>
            <x v="12"/>
          </reference>
        </references>
      </pivotArea>
    </format>
    <format dxfId="2">
      <pivotArea dataOnly="0" labelOnly="1" outline="0" fieldPosition="0">
        <references count="2">
          <reference field="3" count="1" selected="0">
            <x v="10"/>
          </reference>
          <reference field="5" count="1">
            <x v="9"/>
          </reference>
        </references>
      </pivotArea>
    </format>
    <format dxfId="1">
      <pivotArea dataOnly="0" labelOnly="1" outline="0" fieldPosition="0">
        <references count="2">
          <reference field="3" count="1" selected="0">
            <x v="11"/>
          </reference>
          <reference field="5" count="1">
            <x v="2"/>
          </reference>
        </references>
      </pivotArea>
    </format>
    <format dxfId="0">
      <pivotArea dataOnly="0" labelOnly="1" outline="0" fieldPosition="0">
        <references count="2">
          <reference field="3" count="1" selected="0">
            <x v="12"/>
          </reference>
          <reference field="5" count="1">
            <x v="3"/>
          </reference>
        </references>
      </pivotArea>
    </format>
  </formats>
  <pivotTableStyleInfo name="1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03C4-243F-4684-B30C-F76B08F2D109}">
  <dimension ref="A1:O145"/>
  <sheetViews>
    <sheetView tabSelected="1" zoomScale="85" zoomScaleNormal="85" workbookViewId="0">
      <pane ySplit="1" topLeftCell="A5" activePane="bottomLeft" state="frozen"/>
      <selection pane="bottomLeft" activeCell="A2" sqref="A2"/>
    </sheetView>
  </sheetViews>
  <sheetFormatPr defaultRowHeight="15" x14ac:dyDescent="0.25"/>
  <cols>
    <col min="1" max="1" width="5.28515625" style="2" bestFit="1" customWidth="1"/>
    <col min="2" max="2" width="33" style="2" hidden="1" customWidth="1"/>
    <col min="3" max="3" width="51.140625" style="2" hidden="1" customWidth="1"/>
    <col min="4" max="4" width="23.28515625" style="2" customWidth="1"/>
    <col min="5" max="5" width="25.28515625" style="2" customWidth="1"/>
    <col min="6" max="6" width="16" style="2" customWidth="1"/>
    <col min="7" max="7" width="27.7109375" style="2" bestFit="1" customWidth="1"/>
    <col min="8" max="8" width="3.28515625" style="2" bestFit="1" customWidth="1"/>
    <col min="9" max="9" width="21.28515625" style="2" bestFit="1" customWidth="1"/>
    <col min="10" max="10" width="39.140625" style="2" bestFit="1" customWidth="1"/>
    <col min="11" max="11" width="32.140625" style="2" bestFit="1" customWidth="1"/>
    <col min="12" max="12" width="14.85546875" style="2" bestFit="1" customWidth="1"/>
    <col min="13" max="13" width="8" style="4" bestFit="1" customWidth="1"/>
    <col min="14" max="14" width="31" style="5" customWidth="1"/>
    <col min="15" max="15" width="8.28515625" style="54" customWidth="1"/>
    <col min="16" max="16384" width="9.140625" style="2"/>
  </cols>
  <sheetData>
    <row r="1" spans="1:15" s="1" customFormat="1" x14ac:dyDescent="0.25">
      <c r="A1" s="18" t="s">
        <v>198</v>
      </c>
      <c r="B1" s="19" t="s">
        <v>0</v>
      </c>
      <c r="C1" s="20" t="s">
        <v>59</v>
      </c>
      <c r="D1" s="18" t="s">
        <v>60</v>
      </c>
      <c r="E1" s="18" t="s">
        <v>63</v>
      </c>
      <c r="F1" s="18" t="s">
        <v>2</v>
      </c>
      <c r="G1" s="18" t="s">
        <v>64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65</v>
      </c>
      <c r="N1" s="18" t="s">
        <v>8</v>
      </c>
      <c r="O1" s="18" t="s">
        <v>219</v>
      </c>
    </row>
    <row r="2" spans="1:15" s="3" customFormat="1" x14ac:dyDescent="0.25">
      <c r="A2" s="6" t="s">
        <v>20</v>
      </c>
      <c r="B2" s="6" t="s">
        <v>1</v>
      </c>
      <c r="C2" s="7" t="s">
        <v>33</v>
      </c>
      <c r="D2" s="8" t="s">
        <v>61</v>
      </c>
      <c r="E2" s="6" t="s">
        <v>62</v>
      </c>
      <c r="F2" s="6"/>
      <c r="G2" s="6" t="s">
        <v>21</v>
      </c>
      <c r="H2" s="6">
        <v>1</v>
      </c>
      <c r="I2" s="6" t="s">
        <v>22</v>
      </c>
      <c r="J2" s="6" t="s">
        <v>23</v>
      </c>
      <c r="K2" s="6" t="s">
        <v>24</v>
      </c>
      <c r="L2" s="6" t="s">
        <v>10</v>
      </c>
      <c r="M2" s="9" t="s">
        <v>15</v>
      </c>
      <c r="N2" s="10" t="s">
        <v>25</v>
      </c>
      <c r="O2" s="29" t="s">
        <v>220</v>
      </c>
    </row>
    <row r="3" spans="1:15" x14ac:dyDescent="0.25">
      <c r="A3" s="6" t="s">
        <v>20</v>
      </c>
      <c r="B3" s="6" t="s">
        <v>1</v>
      </c>
      <c r="C3" s="7" t="s">
        <v>33</v>
      </c>
      <c r="D3" s="8" t="s">
        <v>61</v>
      </c>
      <c r="E3" s="6" t="s">
        <v>62</v>
      </c>
      <c r="F3" s="6"/>
      <c r="G3" s="6" t="s">
        <v>21</v>
      </c>
      <c r="H3" s="6">
        <v>2</v>
      </c>
      <c r="I3" s="6" t="s">
        <v>22</v>
      </c>
      <c r="J3" s="6" t="s">
        <v>26</v>
      </c>
      <c r="K3" s="6" t="s">
        <v>27</v>
      </c>
      <c r="L3" s="6" t="s">
        <v>10</v>
      </c>
      <c r="M3" s="9" t="s">
        <v>15</v>
      </c>
      <c r="N3" s="10" t="s">
        <v>28</v>
      </c>
      <c r="O3" s="29" t="s">
        <v>220</v>
      </c>
    </row>
    <row r="4" spans="1:15" x14ac:dyDescent="0.25">
      <c r="A4" s="6" t="s">
        <v>20</v>
      </c>
      <c r="B4" s="6" t="s">
        <v>1</v>
      </c>
      <c r="C4" s="7" t="s">
        <v>33</v>
      </c>
      <c r="D4" s="8" t="s">
        <v>61</v>
      </c>
      <c r="E4" s="6" t="s">
        <v>62</v>
      </c>
      <c r="F4" s="6"/>
      <c r="G4" s="6" t="s">
        <v>9</v>
      </c>
      <c r="H4" s="6">
        <v>3</v>
      </c>
      <c r="I4" s="6" t="s">
        <v>90</v>
      </c>
      <c r="J4" s="6" t="s">
        <v>29</v>
      </c>
      <c r="K4" s="6" t="s">
        <v>30</v>
      </c>
      <c r="L4" s="6" t="s">
        <v>10</v>
      </c>
      <c r="M4" s="9" t="s">
        <v>15</v>
      </c>
      <c r="N4" s="10" t="s">
        <v>31</v>
      </c>
      <c r="O4" s="29" t="s">
        <v>220</v>
      </c>
    </row>
    <row r="5" spans="1:15" x14ac:dyDescent="0.25">
      <c r="A5" s="11" t="s">
        <v>32</v>
      </c>
      <c r="B5" s="11" t="s">
        <v>1</v>
      </c>
      <c r="C5" s="12" t="s">
        <v>33</v>
      </c>
      <c r="D5" s="13" t="s">
        <v>66</v>
      </c>
      <c r="E5" s="11" t="s">
        <v>67</v>
      </c>
      <c r="F5" s="11" t="s">
        <v>68</v>
      </c>
      <c r="G5" s="11" t="s">
        <v>12</v>
      </c>
      <c r="H5" s="11">
        <v>1</v>
      </c>
      <c r="I5" s="11" t="s">
        <v>69</v>
      </c>
      <c r="J5" s="14" t="s">
        <v>34</v>
      </c>
      <c r="K5" s="14" t="s">
        <v>35</v>
      </c>
      <c r="L5" s="11" t="s">
        <v>10</v>
      </c>
      <c r="M5" s="15" t="s">
        <v>15</v>
      </c>
      <c r="N5" s="16" t="s">
        <v>36</v>
      </c>
      <c r="O5" s="53" t="s">
        <v>220</v>
      </c>
    </row>
    <row r="6" spans="1:15" x14ac:dyDescent="0.25">
      <c r="A6" s="11" t="s">
        <v>32</v>
      </c>
      <c r="B6" s="11" t="s">
        <v>1</v>
      </c>
      <c r="C6" s="12" t="s">
        <v>33</v>
      </c>
      <c r="D6" s="13" t="s">
        <v>66</v>
      </c>
      <c r="E6" s="11" t="s">
        <v>67</v>
      </c>
      <c r="F6" s="11" t="s">
        <v>68</v>
      </c>
      <c r="G6" s="11" t="s">
        <v>12</v>
      </c>
      <c r="H6" s="11">
        <v>2</v>
      </c>
      <c r="I6" s="11" t="s">
        <v>69</v>
      </c>
      <c r="J6" s="14" t="s">
        <v>13</v>
      </c>
      <c r="K6" s="14" t="s">
        <v>14</v>
      </c>
      <c r="L6" s="11" t="s">
        <v>10</v>
      </c>
      <c r="M6" s="15" t="s">
        <v>15</v>
      </c>
      <c r="N6" s="16" t="s">
        <v>37</v>
      </c>
      <c r="O6" s="53" t="s">
        <v>220</v>
      </c>
    </row>
    <row r="7" spans="1:15" x14ac:dyDescent="0.25">
      <c r="A7" s="11" t="s">
        <v>32</v>
      </c>
      <c r="B7" s="11" t="s">
        <v>1</v>
      </c>
      <c r="C7" s="12" t="s">
        <v>33</v>
      </c>
      <c r="D7" s="13" t="s">
        <v>66</v>
      </c>
      <c r="E7" s="11" t="s">
        <v>67</v>
      </c>
      <c r="F7" s="11" t="s">
        <v>68</v>
      </c>
      <c r="G7" s="11" t="s">
        <v>12</v>
      </c>
      <c r="H7" s="11">
        <v>3</v>
      </c>
      <c r="I7" s="11" t="s">
        <v>69</v>
      </c>
      <c r="J7" s="14" t="s">
        <v>38</v>
      </c>
      <c r="K7" s="14" t="s">
        <v>39</v>
      </c>
      <c r="L7" s="11" t="s">
        <v>10</v>
      </c>
      <c r="M7" s="15" t="s">
        <v>15</v>
      </c>
      <c r="N7" s="16" t="s">
        <v>40</v>
      </c>
      <c r="O7" s="53" t="s">
        <v>220</v>
      </c>
    </row>
    <row r="8" spans="1:15" x14ac:dyDescent="0.25">
      <c r="A8" s="24" t="s">
        <v>32</v>
      </c>
      <c r="B8" s="24" t="s">
        <v>1</v>
      </c>
      <c r="C8" s="25" t="s">
        <v>33</v>
      </c>
      <c r="D8" s="26" t="s">
        <v>66</v>
      </c>
      <c r="E8" s="24" t="s">
        <v>67</v>
      </c>
      <c r="F8" s="24" t="s">
        <v>68</v>
      </c>
      <c r="G8" s="24" t="s">
        <v>16</v>
      </c>
      <c r="H8" s="24">
        <v>4</v>
      </c>
      <c r="I8" s="24" t="s">
        <v>17</v>
      </c>
      <c r="J8" s="24" t="s">
        <v>41</v>
      </c>
      <c r="K8" s="24" t="s">
        <v>42</v>
      </c>
      <c r="L8" s="24" t="s">
        <v>11</v>
      </c>
      <c r="M8" s="27" t="s">
        <v>197</v>
      </c>
      <c r="N8" s="28">
        <v>30</v>
      </c>
      <c r="O8" s="35" t="s">
        <v>221</v>
      </c>
    </row>
    <row r="9" spans="1:15" x14ac:dyDescent="0.25">
      <c r="A9" s="24" t="s">
        <v>32</v>
      </c>
      <c r="B9" s="24" t="s">
        <v>1</v>
      </c>
      <c r="C9" s="25" t="s">
        <v>33</v>
      </c>
      <c r="D9" s="26" t="s">
        <v>66</v>
      </c>
      <c r="E9" s="24" t="s">
        <v>67</v>
      </c>
      <c r="F9" s="24" t="s">
        <v>68</v>
      </c>
      <c r="G9" s="24" t="s">
        <v>16</v>
      </c>
      <c r="H9" s="24">
        <v>5</v>
      </c>
      <c r="I9" s="24" t="s">
        <v>17</v>
      </c>
      <c r="J9" s="24" t="s">
        <v>43</v>
      </c>
      <c r="K9" s="24" t="s">
        <v>44</v>
      </c>
      <c r="L9" s="24" t="s">
        <v>11</v>
      </c>
      <c r="M9" s="27" t="s">
        <v>45</v>
      </c>
      <c r="N9" s="28">
        <v>300</v>
      </c>
      <c r="O9" s="35" t="s">
        <v>221</v>
      </c>
    </row>
    <row r="10" spans="1:15" x14ac:dyDescent="0.25">
      <c r="A10" s="24" t="s">
        <v>32</v>
      </c>
      <c r="B10" s="24" t="s">
        <v>1</v>
      </c>
      <c r="C10" s="25" t="s">
        <v>33</v>
      </c>
      <c r="D10" s="26" t="s">
        <v>66</v>
      </c>
      <c r="E10" s="24" t="s">
        <v>67</v>
      </c>
      <c r="F10" s="24" t="s">
        <v>68</v>
      </c>
      <c r="G10" s="24" t="s">
        <v>16</v>
      </c>
      <c r="H10" s="24">
        <v>6</v>
      </c>
      <c r="I10" s="24" t="s">
        <v>17</v>
      </c>
      <c r="J10" s="24" t="s">
        <v>46</v>
      </c>
      <c r="K10" s="24" t="s">
        <v>47</v>
      </c>
      <c r="L10" s="24" t="s">
        <v>11</v>
      </c>
      <c r="M10" s="27" t="s">
        <v>45</v>
      </c>
      <c r="N10" s="28">
        <v>300</v>
      </c>
      <c r="O10" s="35" t="s">
        <v>221</v>
      </c>
    </row>
    <row r="11" spans="1:15" x14ac:dyDescent="0.25">
      <c r="A11" s="24" t="s">
        <v>32</v>
      </c>
      <c r="B11" s="24" t="s">
        <v>1</v>
      </c>
      <c r="C11" s="25" t="s">
        <v>33</v>
      </c>
      <c r="D11" s="26" t="s">
        <v>66</v>
      </c>
      <c r="E11" s="24" t="s">
        <v>67</v>
      </c>
      <c r="F11" s="24" t="s">
        <v>68</v>
      </c>
      <c r="G11" s="24" t="s">
        <v>16</v>
      </c>
      <c r="H11" s="24">
        <v>7</v>
      </c>
      <c r="I11" s="24" t="s">
        <v>17</v>
      </c>
      <c r="J11" s="24" t="s">
        <v>48</v>
      </c>
      <c r="K11" s="24" t="s">
        <v>49</v>
      </c>
      <c r="L11" s="24" t="s">
        <v>11</v>
      </c>
      <c r="M11" s="27" t="s">
        <v>45</v>
      </c>
      <c r="N11" s="28">
        <v>12.5</v>
      </c>
      <c r="O11" s="35" t="s">
        <v>221</v>
      </c>
    </row>
    <row r="12" spans="1:15" x14ac:dyDescent="0.25">
      <c r="A12" s="11" t="s">
        <v>32</v>
      </c>
      <c r="B12" s="11" t="s">
        <v>1</v>
      </c>
      <c r="C12" s="12" t="s">
        <v>33</v>
      </c>
      <c r="D12" s="13" t="s">
        <v>66</v>
      </c>
      <c r="E12" s="11" t="s">
        <v>67</v>
      </c>
      <c r="F12" s="11" t="s">
        <v>68</v>
      </c>
      <c r="G12" s="11" t="s">
        <v>50</v>
      </c>
      <c r="H12" s="11">
        <v>8</v>
      </c>
      <c r="I12" s="11" t="s">
        <v>51</v>
      </c>
      <c r="J12" s="11" t="s">
        <v>52</v>
      </c>
      <c r="K12" s="11" t="s">
        <v>53</v>
      </c>
      <c r="L12" s="11" t="s">
        <v>10</v>
      </c>
      <c r="M12" s="15" t="s">
        <v>15</v>
      </c>
      <c r="N12" s="17" t="s">
        <v>54</v>
      </c>
      <c r="O12" s="35" t="s">
        <v>220</v>
      </c>
    </row>
    <row r="13" spans="1:15" x14ac:dyDescent="0.25">
      <c r="A13" s="11" t="s">
        <v>32</v>
      </c>
      <c r="B13" s="11" t="s">
        <v>1</v>
      </c>
      <c r="C13" s="12" t="s">
        <v>33</v>
      </c>
      <c r="D13" s="13" t="s">
        <v>66</v>
      </c>
      <c r="E13" s="11" t="s">
        <v>67</v>
      </c>
      <c r="F13" s="11" t="s">
        <v>68</v>
      </c>
      <c r="G13" s="11" t="s">
        <v>50</v>
      </c>
      <c r="H13" s="11">
        <v>9</v>
      </c>
      <c r="I13" s="11" t="s">
        <v>51</v>
      </c>
      <c r="J13" s="11" t="s">
        <v>55</v>
      </c>
      <c r="K13" s="11" t="s">
        <v>56</v>
      </c>
      <c r="L13" s="11" t="s">
        <v>10</v>
      </c>
      <c r="M13" s="15" t="s">
        <v>15</v>
      </c>
      <c r="N13" s="17" t="s">
        <v>57</v>
      </c>
      <c r="O13" s="35" t="s">
        <v>220</v>
      </c>
    </row>
    <row r="14" spans="1:15" x14ac:dyDescent="0.25">
      <c r="A14" s="6" t="s">
        <v>58</v>
      </c>
      <c r="B14" s="6" t="s">
        <v>1</v>
      </c>
      <c r="C14" s="7" t="s">
        <v>33</v>
      </c>
      <c r="D14" s="8" t="s">
        <v>70</v>
      </c>
      <c r="E14" s="6" t="s">
        <v>71</v>
      </c>
      <c r="F14" s="6" t="s">
        <v>72</v>
      </c>
      <c r="G14" s="6" t="s">
        <v>12</v>
      </c>
      <c r="H14" s="6">
        <v>1</v>
      </c>
      <c r="I14" s="6" t="s">
        <v>69</v>
      </c>
      <c r="J14" s="6" t="s">
        <v>101</v>
      </c>
      <c r="K14" s="6" t="s">
        <v>74</v>
      </c>
      <c r="L14" s="6" t="s">
        <v>10</v>
      </c>
      <c r="M14" s="9" t="s">
        <v>15</v>
      </c>
      <c r="N14" s="10" t="s">
        <v>75</v>
      </c>
      <c r="O14" s="29" t="s">
        <v>220</v>
      </c>
    </row>
    <row r="15" spans="1:15" x14ac:dyDescent="0.25">
      <c r="A15" s="6" t="s">
        <v>58</v>
      </c>
      <c r="B15" s="6" t="s">
        <v>1</v>
      </c>
      <c r="C15" s="7" t="s">
        <v>33</v>
      </c>
      <c r="D15" s="8" t="s">
        <v>70</v>
      </c>
      <c r="E15" s="6" t="s">
        <v>71</v>
      </c>
      <c r="F15" s="6" t="s">
        <v>72</v>
      </c>
      <c r="G15" s="6" t="s">
        <v>12</v>
      </c>
      <c r="H15" s="6">
        <v>2</v>
      </c>
      <c r="I15" s="6" t="s">
        <v>69</v>
      </c>
      <c r="J15" s="6" t="s">
        <v>13</v>
      </c>
      <c r="K15" s="6" t="s">
        <v>14</v>
      </c>
      <c r="L15" s="6" t="s">
        <v>10</v>
      </c>
      <c r="M15" s="9" t="s">
        <v>15</v>
      </c>
      <c r="N15" s="10" t="s">
        <v>76</v>
      </c>
      <c r="O15" s="29" t="s">
        <v>220</v>
      </c>
    </row>
    <row r="16" spans="1:15" x14ac:dyDescent="0.25">
      <c r="A16" s="6" t="s">
        <v>58</v>
      </c>
      <c r="B16" s="6" t="s">
        <v>1</v>
      </c>
      <c r="C16" s="7" t="s">
        <v>33</v>
      </c>
      <c r="D16" s="8" t="s">
        <v>70</v>
      </c>
      <c r="E16" s="6" t="s">
        <v>71</v>
      </c>
      <c r="F16" s="6" t="s">
        <v>72</v>
      </c>
      <c r="G16" s="6" t="s">
        <v>12</v>
      </c>
      <c r="H16" s="6">
        <v>3</v>
      </c>
      <c r="I16" s="6" t="s">
        <v>69</v>
      </c>
      <c r="J16" s="6" t="s">
        <v>73</v>
      </c>
      <c r="K16" s="6" t="s">
        <v>77</v>
      </c>
      <c r="L16" s="6" t="s">
        <v>10</v>
      </c>
      <c r="M16" s="9" t="s">
        <v>15</v>
      </c>
      <c r="N16" s="10" t="s">
        <v>76</v>
      </c>
      <c r="O16" s="29" t="s">
        <v>220</v>
      </c>
    </row>
    <row r="17" spans="1:15" x14ac:dyDescent="0.25">
      <c r="A17" s="30" t="s">
        <v>58</v>
      </c>
      <c r="B17" s="30" t="s">
        <v>1</v>
      </c>
      <c r="C17" s="31" t="s">
        <v>33</v>
      </c>
      <c r="D17" s="32" t="s">
        <v>70</v>
      </c>
      <c r="E17" s="30" t="s">
        <v>71</v>
      </c>
      <c r="F17" s="30" t="s">
        <v>72</v>
      </c>
      <c r="G17" s="30" t="s">
        <v>16</v>
      </c>
      <c r="H17" s="30">
        <v>4</v>
      </c>
      <c r="I17" s="30" t="s">
        <v>17</v>
      </c>
      <c r="J17" s="30" t="s">
        <v>43</v>
      </c>
      <c r="K17" s="30" t="s">
        <v>44</v>
      </c>
      <c r="L17" s="30" t="s">
        <v>11</v>
      </c>
      <c r="M17" s="33" t="s">
        <v>45</v>
      </c>
      <c r="N17" s="34">
        <v>3300</v>
      </c>
      <c r="O17" s="29" t="s">
        <v>221</v>
      </c>
    </row>
    <row r="18" spans="1:15" x14ac:dyDescent="0.25">
      <c r="A18" s="37" t="s">
        <v>58</v>
      </c>
      <c r="B18" s="37" t="s">
        <v>1</v>
      </c>
      <c r="C18" s="38" t="s">
        <v>33</v>
      </c>
      <c r="D18" s="39" t="s">
        <v>70</v>
      </c>
      <c r="E18" s="37" t="s">
        <v>71</v>
      </c>
      <c r="F18" s="37" t="s">
        <v>72</v>
      </c>
      <c r="G18" s="37" t="s">
        <v>16</v>
      </c>
      <c r="H18" s="37">
        <v>5</v>
      </c>
      <c r="I18" s="37" t="s">
        <v>17</v>
      </c>
      <c r="J18" s="37" t="s">
        <v>18</v>
      </c>
      <c r="K18" s="37" t="s">
        <v>19</v>
      </c>
      <c r="L18" s="37" t="s">
        <v>11</v>
      </c>
      <c r="M18" s="40" t="s">
        <v>196</v>
      </c>
      <c r="N18" s="41">
        <v>40</v>
      </c>
      <c r="O18" s="29" t="s">
        <v>220</v>
      </c>
    </row>
    <row r="19" spans="1:15" x14ac:dyDescent="0.25">
      <c r="A19" s="30" t="s">
        <v>58</v>
      </c>
      <c r="B19" s="30" t="s">
        <v>1</v>
      </c>
      <c r="C19" s="31" t="s">
        <v>33</v>
      </c>
      <c r="D19" s="32" t="s">
        <v>70</v>
      </c>
      <c r="E19" s="30" t="s">
        <v>71</v>
      </c>
      <c r="F19" s="30" t="s">
        <v>72</v>
      </c>
      <c r="G19" s="30" t="s">
        <v>16</v>
      </c>
      <c r="H19" s="30">
        <v>6</v>
      </c>
      <c r="I19" s="30" t="s">
        <v>17</v>
      </c>
      <c r="J19" s="30" t="s">
        <v>41</v>
      </c>
      <c r="K19" s="30" t="s">
        <v>42</v>
      </c>
      <c r="L19" s="30" t="s">
        <v>11</v>
      </c>
      <c r="M19" s="33" t="s">
        <v>197</v>
      </c>
      <c r="N19" s="34">
        <v>60</v>
      </c>
      <c r="O19" s="29" t="s">
        <v>221</v>
      </c>
    </row>
    <row r="20" spans="1:15" x14ac:dyDescent="0.25">
      <c r="A20" s="6" t="s">
        <v>58</v>
      </c>
      <c r="B20" s="6" t="s">
        <v>1</v>
      </c>
      <c r="C20" s="7" t="s">
        <v>33</v>
      </c>
      <c r="D20" s="8" t="s">
        <v>70</v>
      </c>
      <c r="E20" s="6" t="s">
        <v>71</v>
      </c>
      <c r="F20" s="6" t="s">
        <v>72</v>
      </c>
      <c r="G20" s="6" t="s">
        <v>50</v>
      </c>
      <c r="H20" s="6">
        <v>7</v>
      </c>
      <c r="I20" s="6" t="s">
        <v>51</v>
      </c>
      <c r="J20" s="6" t="s">
        <v>52</v>
      </c>
      <c r="K20" s="6" t="s">
        <v>53</v>
      </c>
      <c r="L20" s="6" t="s">
        <v>10</v>
      </c>
      <c r="M20" s="9" t="s">
        <v>15</v>
      </c>
      <c r="N20" s="10" t="s">
        <v>54</v>
      </c>
      <c r="O20" s="29" t="s">
        <v>220</v>
      </c>
    </row>
    <row r="21" spans="1:15" x14ac:dyDescent="0.25">
      <c r="A21" s="6" t="s">
        <v>58</v>
      </c>
      <c r="B21" s="6" t="s">
        <v>1</v>
      </c>
      <c r="C21" s="7" t="s">
        <v>33</v>
      </c>
      <c r="D21" s="8" t="s">
        <v>70</v>
      </c>
      <c r="E21" s="6" t="s">
        <v>71</v>
      </c>
      <c r="F21" s="6" t="s">
        <v>72</v>
      </c>
      <c r="G21" s="6" t="s">
        <v>50</v>
      </c>
      <c r="H21" s="6">
        <v>8</v>
      </c>
      <c r="I21" s="6" t="s">
        <v>51</v>
      </c>
      <c r="J21" s="6" t="s">
        <v>55</v>
      </c>
      <c r="K21" s="6" t="s">
        <v>56</v>
      </c>
      <c r="L21" s="6" t="s">
        <v>10</v>
      </c>
      <c r="M21" s="9" t="s">
        <v>15</v>
      </c>
      <c r="N21" s="10" t="s">
        <v>57</v>
      </c>
      <c r="O21" s="29" t="s">
        <v>220</v>
      </c>
    </row>
    <row r="22" spans="1:15" x14ac:dyDescent="0.25">
      <c r="A22" s="6" t="s">
        <v>58</v>
      </c>
      <c r="B22" s="6" t="s">
        <v>1</v>
      </c>
      <c r="C22" s="7" t="s">
        <v>33</v>
      </c>
      <c r="D22" s="8" t="s">
        <v>70</v>
      </c>
      <c r="E22" s="6" t="s">
        <v>71</v>
      </c>
      <c r="F22" s="6" t="s">
        <v>72</v>
      </c>
      <c r="G22" s="6" t="s">
        <v>78</v>
      </c>
      <c r="H22" s="6">
        <v>9</v>
      </c>
      <c r="I22" s="6" t="s">
        <v>79</v>
      </c>
      <c r="J22" s="6" t="s">
        <v>80</v>
      </c>
      <c r="K22" s="6" t="s">
        <v>81</v>
      </c>
      <c r="L22" s="6" t="s">
        <v>10</v>
      </c>
      <c r="M22" s="9" t="s">
        <v>15</v>
      </c>
      <c r="N22" s="10" t="s">
        <v>82</v>
      </c>
      <c r="O22" s="29" t="s">
        <v>220</v>
      </c>
    </row>
    <row r="23" spans="1:15" x14ac:dyDescent="0.25">
      <c r="A23" s="6" t="s">
        <v>58</v>
      </c>
      <c r="B23" s="6" t="s">
        <v>1</v>
      </c>
      <c r="C23" s="7" t="s">
        <v>33</v>
      </c>
      <c r="D23" s="8" t="s">
        <v>70</v>
      </c>
      <c r="E23" s="6" t="s">
        <v>71</v>
      </c>
      <c r="F23" s="6" t="s">
        <v>72</v>
      </c>
      <c r="G23" s="6" t="s">
        <v>78</v>
      </c>
      <c r="H23" s="6">
        <v>10</v>
      </c>
      <c r="I23" s="6" t="s">
        <v>79</v>
      </c>
      <c r="J23" s="6" t="s">
        <v>83</v>
      </c>
      <c r="K23" s="6" t="s">
        <v>84</v>
      </c>
      <c r="L23" s="6" t="s">
        <v>10</v>
      </c>
      <c r="M23" s="9" t="s">
        <v>15</v>
      </c>
      <c r="N23" s="10" t="s">
        <v>85</v>
      </c>
      <c r="O23" s="29" t="s">
        <v>220</v>
      </c>
    </row>
    <row r="24" spans="1:15" x14ac:dyDescent="0.25">
      <c r="A24" s="6" t="s">
        <v>58</v>
      </c>
      <c r="B24" s="6" t="s">
        <v>1</v>
      </c>
      <c r="C24" s="7" t="s">
        <v>33</v>
      </c>
      <c r="D24" s="8" t="s">
        <v>70</v>
      </c>
      <c r="E24" s="6" t="s">
        <v>71</v>
      </c>
      <c r="F24" s="6" t="s">
        <v>72</v>
      </c>
      <c r="G24" s="6" t="s">
        <v>78</v>
      </c>
      <c r="H24" s="6">
        <v>11</v>
      </c>
      <c r="I24" s="6" t="s">
        <v>79</v>
      </c>
      <c r="J24" s="6" t="s">
        <v>86</v>
      </c>
      <c r="K24" s="6" t="s">
        <v>87</v>
      </c>
      <c r="L24" s="6" t="s">
        <v>10</v>
      </c>
      <c r="M24" s="9" t="s">
        <v>15</v>
      </c>
      <c r="N24" s="10">
        <v>12</v>
      </c>
      <c r="O24" s="29" t="s">
        <v>220</v>
      </c>
    </row>
    <row r="25" spans="1:15" x14ac:dyDescent="0.25">
      <c r="A25" s="6" t="s">
        <v>58</v>
      </c>
      <c r="B25" s="6" t="s">
        <v>1</v>
      </c>
      <c r="C25" s="7" t="s">
        <v>33</v>
      </c>
      <c r="D25" s="8" t="s">
        <v>70</v>
      </c>
      <c r="E25" s="6" t="s">
        <v>71</v>
      </c>
      <c r="F25" s="6" t="s">
        <v>72</v>
      </c>
      <c r="G25" s="6" t="s">
        <v>78</v>
      </c>
      <c r="H25" s="6">
        <v>12</v>
      </c>
      <c r="I25" s="6" t="s">
        <v>79</v>
      </c>
      <c r="J25" s="6" t="s">
        <v>88</v>
      </c>
      <c r="K25" s="6" t="s">
        <v>89</v>
      </c>
      <c r="L25" s="6" t="s">
        <v>10</v>
      </c>
      <c r="M25" s="9" t="s">
        <v>15</v>
      </c>
      <c r="N25" s="10">
        <v>1</v>
      </c>
      <c r="O25" s="29" t="s">
        <v>220</v>
      </c>
    </row>
    <row r="26" spans="1:15" x14ac:dyDescent="0.25">
      <c r="A26" s="6" t="s">
        <v>58</v>
      </c>
      <c r="B26" s="6" t="s">
        <v>1</v>
      </c>
      <c r="C26" s="7" t="s">
        <v>33</v>
      </c>
      <c r="D26" s="8" t="s">
        <v>70</v>
      </c>
      <c r="E26" s="6" t="s">
        <v>71</v>
      </c>
      <c r="F26" s="6" t="s">
        <v>72</v>
      </c>
      <c r="G26" s="6" t="s">
        <v>9</v>
      </c>
      <c r="H26" s="6">
        <v>14</v>
      </c>
      <c r="I26" s="6" t="s">
        <v>90</v>
      </c>
      <c r="J26" s="6" t="s">
        <v>91</v>
      </c>
      <c r="K26" s="6" t="s">
        <v>92</v>
      </c>
      <c r="L26" s="6" t="s">
        <v>93</v>
      </c>
      <c r="M26" s="9" t="s">
        <v>15</v>
      </c>
      <c r="N26" s="10" t="s">
        <v>94</v>
      </c>
      <c r="O26" s="29" t="s">
        <v>220</v>
      </c>
    </row>
    <row r="27" spans="1:15" x14ac:dyDescent="0.25">
      <c r="A27" s="6" t="s">
        <v>58</v>
      </c>
      <c r="B27" s="6" t="s">
        <v>1</v>
      </c>
      <c r="C27" s="7" t="s">
        <v>33</v>
      </c>
      <c r="D27" s="8" t="s">
        <v>70</v>
      </c>
      <c r="E27" s="6" t="s">
        <v>71</v>
      </c>
      <c r="F27" s="6" t="s">
        <v>72</v>
      </c>
      <c r="G27" s="6" t="s">
        <v>9</v>
      </c>
      <c r="H27" s="6">
        <v>15</v>
      </c>
      <c r="I27" s="6" t="s">
        <v>90</v>
      </c>
      <c r="J27" s="6" t="s">
        <v>95</v>
      </c>
      <c r="K27" s="6" t="s">
        <v>96</v>
      </c>
      <c r="L27" s="6" t="s">
        <v>93</v>
      </c>
      <c r="M27" s="9" t="s">
        <v>15</v>
      </c>
      <c r="N27" s="10" t="s">
        <v>94</v>
      </c>
      <c r="O27" s="29" t="s">
        <v>220</v>
      </c>
    </row>
    <row r="28" spans="1:15" x14ac:dyDescent="0.25">
      <c r="A28" s="6" t="s">
        <v>58</v>
      </c>
      <c r="B28" s="6" t="s">
        <v>1</v>
      </c>
      <c r="C28" s="7" t="s">
        <v>33</v>
      </c>
      <c r="D28" s="8" t="s">
        <v>70</v>
      </c>
      <c r="E28" s="6" t="s">
        <v>71</v>
      </c>
      <c r="F28" s="6" t="s">
        <v>72</v>
      </c>
      <c r="G28" s="6" t="s">
        <v>9</v>
      </c>
      <c r="H28" s="6">
        <v>16</v>
      </c>
      <c r="I28" s="6" t="s">
        <v>90</v>
      </c>
      <c r="J28" s="6" t="s">
        <v>97</v>
      </c>
      <c r="K28" s="6" t="s">
        <v>98</v>
      </c>
      <c r="L28" s="6" t="s">
        <v>93</v>
      </c>
      <c r="M28" s="9" t="s">
        <v>15</v>
      </c>
      <c r="N28" s="10" t="s">
        <v>94</v>
      </c>
      <c r="O28" s="29" t="s">
        <v>220</v>
      </c>
    </row>
    <row r="29" spans="1:15" x14ac:dyDescent="0.25">
      <c r="A29" s="11" t="s">
        <v>99</v>
      </c>
      <c r="B29" s="11" t="s">
        <v>1</v>
      </c>
      <c r="C29" s="12" t="s">
        <v>33</v>
      </c>
      <c r="D29" s="13" t="s">
        <v>70</v>
      </c>
      <c r="E29" s="11" t="s">
        <v>100</v>
      </c>
      <c r="F29" s="11"/>
      <c r="G29" s="11" t="s">
        <v>12</v>
      </c>
      <c r="H29" s="11">
        <v>1</v>
      </c>
      <c r="I29" s="11" t="s">
        <v>69</v>
      </c>
      <c r="J29" s="11" t="s">
        <v>101</v>
      </c>
      <c r="K29" s="11" t="s">
        <v>74</v>
      </c>
      <c r="L29" s="11" t="s">
        <v>10</v>
      </c>
      <c r="M29" s="15" t="s">
        <v>15</v>
      </c>
      <c r="N29" s="17" t="s">
        <v>15</v>
      </c>
      <c r="O29" s="35" t="s">
        <v>220</v>
      </c>
    </row>
    <row r="30" spans="1:15" x14ac:dyDescent="0.25">
      <c r="A30" s="11" t="s">
        <v>99</v>
      </c>
      <c r="B30" s="11" t="s">
        <v>1</v>
      </c>
      <c r="C30" s="12" t="s">
        <v>33</v>
      </c>
      <c r="D30" s="13" t="s">
        <v>70</v>
      </c>
      <c r="E30" s="11" t="s">
        <v>100</v>
      </c>
      <c r="F30" s="11"/>
      <c r="G30" s="11" t="s">
        <v>12</v>
      </c>
      <c r="H30" s="11">
        <v>2</v>
      </c>
      <c r="I30" s="11" t="s">
        <v>69</v>
      </c>
      <c r="J30" s="11" t="s">
        <v>13</v>
      </c>
      <c r="K30" s="11" t="s">
        <v>14</v>
      </c>
      <c r="L30" s="11" t="s">
        <v>10</v>
      </c>
      <c r="M30" s="15" t="s">
        <v>15</v>
      </c>
      <c r="N30" s="17" t="s">
        <v>102</v>
      </c>
      <c r="O30" s="35" t="s">
        <v>220</v>
      </c>
    </row>
    <row r="31" spans="1:15" x14ac:dyDescent="0.25">
      <c r="A31" s="11" t="s">
        <v>99</v>
      </c>
      <c r="B31" s="11" t="s">
        <v>1</v>
      </c>
      <c r="C31" s="12" t="s">
        <v>33</v>
      </c>
      <c r="D31" s="13" t="s">
        <v>70</v>
      </c>
      <c r="E31" s="11" t="s">
        <v>100</v>
      </c>
      <c r="F31" s="11"/>
      <c r="G31" s="11" t="s">
        <v>12</v>
      </c>
      <c r="H31" s="11">
        <v>3</v>
      </c>
      <c r="I31" s="11" t="s">
        <v>69</v>
      </c>
      <c r="J31" s="11" t="s">
        <v>73</v>
      </c>
      <c r="K31" s="11" t="s">
        <v>77</v>
      </c>
      <c r="L31" s="11" t="s">
        <v>10</v>
      </c>
      <c r="M31" s="15" t="s">
        <v>15</v>
      </c>
      <c r="N31" s="17" t="s">
        <v>15</v>
      </c>
      <c r="O31" s="35" t="s">
        <v>220</v>
      </c>
    </row>
    <row r="32" spans="1:15" x14ac:dyDescent="0.25">
      <c r="A32" s="24" t="s">
        <v>99</v>
      </c>
      <c r="B32" s="24" t="s">
        <v>1</v>
      </c>
      <c r="C32" s="25" t="s">
        <v>33</v>
      </c>
      <c r="D32" s="26" t="s">
        <v>70</v>
      </c>
      <c r="E32" s="24" t="s">
        <v>100</v>
      </c>
      <c r="F32" s="24"/>
      <c r="G32" s="24" t="s">
        <v>16</v>
      </c>
      <c r="H32" s="24">
        <v>4</v>
      </c>
      <c r="I32" s="24" t="s">
        <v>17</v>
      </c>
      <c r="J32" s="24" t="s">
        <v>43</v>
      </c>
      <c r="K32" s="24" t="s">
        <v>44</v>
      </c>
      <c r="L32" s="24" t="s">
        <v>11</v>
      </c>
      <c r="M32" s="27" t="s">
        <v>45</v>
      </c>
      <c r="N32" s="28">
        <v>3300</v>
      </c>
      <c r="O32" s="35" t="s">
        <v>221</v>
      </c>
    </row>
    <row r="33" spans="1:15" x14ac:dyDescent="0.25">
      <c r="A33" s="11" t="s">
        <v>99</v>
      </c>
      <c r="B33" s="11" t="s">
        <v>1</v>
      </c>
      <c r="C33" s="12" t="s">
        <v>33</v>
      </c>
      <c r="D33" s="13" t="s">
        <v>70</v>
      </c>
      <c r="E33" s="11" t="s">
        <v>100</v>
      </c>
      <c r="F33" s="11"/>
      <c r="G33" s="11" t="s">
        <v>16</v>
      </c>
      <c r="H33" s="11">
        <v>5</v>
      </c>
      <c r="I33" s="11" t="s">
        <v>17</v>
      </c>
      <c r="J33" s="11" t="s">
        <v>18</v>
      </c>
      <c r="K33" s="11" t="s">
        <v>19</v>
      </c>
      <c r="L33" s="11" t="s">
        <v>11</v>
      </c>
      <c r="M33" s="15" t="s">
        <v>196</v>
      </c>
      <c r="N33" s="17">
        <v>40</v>
      </c>
      <c r="O33" s="35" t="s">
        <v>220</v>
      </c>
    </row>
    <row r="34" spans="1:15" x14ac:dyDescent="0.25">
      <c r="A34" s="24" t="s">
        <v>99</v>
      </c>
      <c r="B34" s="24" t="s">
        <v>1</v>
      </c>
      <c r="C34" s="25" t="s">
        <v>33</v>
      </c>
      <c r="D34" s="26" t="s">
        <v>70</v>
      </c>
      <c r="E34" s="24" t="s">
        <v>100</v>
      </c>
      <c r="F34" s="24"/>
      <c r="G34" s="24" t="s">
        <v>16</v>
      </c>
      <c r="H34" s="24">
        <v>6</v>
      </c>
      <c r="I34" s="24" t="s">
        <v>17</v>
      </c>
      <c r="J34" s="24" t="s">
        <v>41</v>
      </c>
      <c r="K34" s="24" t="s">
        <v>42</v>
      </c>
      <c r="L34" s="24" t="s">
        <v>11</v>
      </c>
      <c r="M34" s="27" t="s">
        <v>197</v>
      </c>
      <c r="N34" s="28">
        <v>60</v>
      </c>
      <c r="O34" s="35" t="s">
        <v>221</v>
      </c>
    </row>
    <row r="35" spans="1:15" x14ac:dyDescent="0.25">
      <c r="A35" s="11" t="s">
        <v>99</v>
      </c>
      <c r="B35" s="11" t="s">
        <v>1</v>
      </c>
      <c r="C35" s="12" t="s">
        <v>33</v>
      </c>
      <c r="D35" s="13" t="s">
        <v>70</v>
      </c>
      <c r="E35" s="11" t="s">
        <v>100</v>
      </c>
      <c r="F35" s="11"/>
      <c r="G35" s="11" t="s">
        <v>50</v>
      </c>
      <c r="H35" s="11">
        <v>7</v>
      </c>
      <c r="I35" s="11" t="s">
        <v>51</v>
      </c>
      <c r="J35" s="11" t="s">
        <v>52</v>
      </c>
      <c r="K35" s="11" t="s">
        <v>53</v>
      </c>
      <c r="L35" s="11" t="s">
        <v>10</v>
      </c>
      <c r="M35" s="15" t="s">
        <v>15</v>
      </c>
      <c r="N35" s="17" t="s">
        <v>54</v>
      </c>
      <c r="O35" s="35" t="s">
        <v>220</v>
      </c>
    </row>
    <row r="36" spans="1:15" x14ac:dyDescent="0.25">
      <c r="A36" s="11" t="s">
        <v>99</v>
      </c>
      <c r="B36" s="11" t="s">
        <v>1</v>
      </c>
      <c r="C36" s="12" t="s">
        <v>33</v>
      </c>
      <c r="D36" s="13" t="s">
        <v>70</v>
      </c>
      <c r="E36" s="11" t="s">
        <v>100</v>
      </c>
      <c r="F36" s="11"/>
      <c r="G36" s="11" t="s">
        <v>50</v>
      </c>
      <c r="H36" s="11">
        <v>8</v>
      </c>
      <c r="I36" s="11" t="s">
        <v>51</v>
      </c>
      <c r="J36" s="11" t="s">
        <v>55</v>
      </c>
      <c r="K36" s="11" t="s">
        <v>56</v>
      </c>
      <c r="L36" s="11" t="s">
        <v>10</v>
      </c>
      <c r="M36" s="15" t="s">
        <v>15</v>
      </c>
      <c r="N36" s="17" t="s">
        <v>57</v>
      </c>
      <c r="O36" s="35" t="s">
        <v>220</v>
      </c>
    </row>
    <row r="37" spans="1:15" x14ac:dyDescent="0.25">
      <c r="A37" s="11" t="s">
        <v>99</v>
      </c>
      <c r="B37" s="11" t="s">
        <v>1</v>
      </c>
      <c r="C37" s="12" t="s">
        <v>33</v>
      </c>
      <c r="D37" s="13" t="s">
        <v>70</v>
      </c>
      <c r="E37" s="11" t="s">
        <v>100</v>
      </c>
      <c r="F37" s="11"/>
      <c r="G37" s="11" t="s">
        <v>78</v>
      </c>
      <c r="H37" s="11">
        <v>9</v>
      </c>
      <c r="I37" s="11" t="s">
        <v>79</v>
      </c>
      <c r="J37" s="11" t="s">
        <v>80</v>
      </c>
      <c r="K37" s="11" t="s">
        <v>81</v>
      </c>
      <c r="L37" s="11" t="s">
        <v>10</v>
      </c>
      <c r="M37" s="15" t="s">
        <v>15</v>
      </c>
      <c r="N37" s="17" t="s">
        <v>102</v>
      </c>
      <c r="O37" s="35" t="s">
        <v>220</v>
      </c>
    </row>
    <row r="38" spans="1:15" x14ac:dyDescent="0.25">
      <c r="A38" s="11" t="s">
        <v>99</v>
      </c>
      <c r="B38" s="11" t="s">
        <v>1</v>
      </c>
      <c r="C38" s="12" t="s">
        <v>33</v>
      </c>
      <c r="D38" s="13" t="s">
        <v>70</v>
      </c>
      <c r="E38" s="11" t="s">
        <v>100</v>
      </c>
      <c r="F38" s="11"/>
      <c r="G38" s="11" t="s">
        <v>9</v>
      </c>
      <c r="H38" s="11">
        <v>10</v>
      </c>
      <c r="I38" s="11" t="s">
        <v>90</v>
      </c>
      <c r="J38" s="11" t="s">
        <v>91</v>
      </c>
      <c r="K38" s="11" t="s">
        <v>92</v>
      </c>
      <c r="L38" s="11" t="s">
        <v>93</v>
      </c>
      <c r="M38" s="15" t="s">
        <v>15</v>
      </c>
      <c r="N38" s="17" t="s">
        <v>94</v>
      </c>
      <c r="O38" s="35" t="s">
        <v>220</v>
      </c>
    </row>
    <row r="39" spans="1:15" x14ac:dyDescent="0.25">
      <c r="A39" s="11" t="s">
        <v>99</v>
      </c>
      <c r="B39" s="11" t="s">
        <v>1</v>
      </c>
      <c r="C39" s="12" t="s">
        <v>33</v>
      </c>
      <c r="D39" s="13" t="s">
        <v>70</v>
      </c>
      <c r="E39" s="11" t="s">
        <v>100</v>
      </c>
      <c r="F39" s="11"/>
      <c r="G39" s="11" t="s">
        <v>9</v>
      </c>
      <c r="H39" s="11">
        <v>11</v>
      </c>
      <c r="I39" s="11" t="s">
        <v>90</v>
      </c>
      <c r="J39" s="11" t="s">
        <v>95</v>
      </c>
      <c r="K39" s="11" t="s">
        <v>96</v>
      </c>
      <c r="L39" s="11" t="s">
        <v>93</v>
      </c>
      <c r="M39" s="15" t="s">
        <v>15</v>
      </c>
      <c r="N39" s="17" t="s">
        <v>94</v>
      </c>
      <c r="O39" s="35" t="s">
        <v>220</v>
      </c>
    </row>
    <row r="40" spans="1:15" x14ac:dyDescent="0.25">
      <c r="A40" s="11" t="s">
        <v>99</v>
      </c>
      <c r="B40" s="11" t="s">
        <v>1</v>
      </c>
      <c r="C40" s="12" t="s">
        <v>33</v>
      </c>
      <c r="D40" s="13" t="s">
        <v>70</v>
      </c>
      <c r="E40" s="11" t="s">
        <v>100</v>
      </c>
      <c r="F40" s="11"/>
      <c r="G40" s="11" t="s">
        <v>9</v>
      </c>
      <c r="H40" s="11">
        <v>12</v>
      </c>
      <c r="I40" s="11" t="s">
        <v>90</v>
      </c>
      <c r="J40" s="11" t="s">
        <v>82</v>
      </c>
      <c r="K40" s="11" t="s">
        <v>103</v>
      </c>
      <c r="L40" s="11" t="s">
        <v>93</v>
      </c>
      <c r="M40" s="15" t="s">
        <v>15</v>
      </c>
      <c r="N40" s="17" t="s">
        <v>94</v>
      </c>
      <c r="O40" s="35" t="s">
        <v>220</v>
      </c>
    </row>
    <row r="41" spans="1:15" x14ac:dyDescent="0.25">
      <c r="A41" s="6" t="s">
        <v>104</v>
      </c>
      <c r="B41" s="6" t="s">
        <v>1</v>
      </c>
      <c r="C41" s="7" t="s">
        <v>33</v>
      </c>
      <c r="D41" s="8" t="s">
        <v>70</v>
      </c>
      <c r="E41" s="6" t="s">
        <v>105</v>
      </c>
      <c r="F41" s="6" t="s">
        <v>106</v>
      </c>
      <c r="G41" s="6" t="s">
        <v>12</v>
      </c>
      <c r="H41" s="6">
        <v>1</v>
      </c>
      <c r="I41" s="6" t="s">
        <v>69</v>
      </c>
      <c r="J41" s="6" t="s">
        <v>101</v>
      </c>
      <c r="K41" s="6" t="s">
        <v>74</v>
      </c>
      <c r="L41" s="6" t="s">
        <v>10</v>
      </c>
      <c r="M41" s="9" t="s">
        <v>15</v>
      </c>
      <c r="N41" s="10" t="s">
        <v>106</v>
      </c>
      <c r="O41" s="29" t="s">
        <v>220</v>
      </c>
    </row>
    <row r="42" spans="1:15" x14ac:dyDescent="0.25">
      <c r="A42" s="6" t="s">
        <v>104</v>
      </c>
      <c r="B42" s="6" t="s">
        <v>1</v>
      </c>
      <c r="C42" s="7" t="s">
        <v>33</v>
      </c>
      <c r="D42" s="8" t="s">
        <v>70</v>
      </c>
      <c r="E42" s="6" t="s">
        <v>105</v>
      </c>
      <c r="F42" s="6" t="s">
        <v>106</v>
      </c>
      <c r="G42" s="6" t="s">
        <v>12</v>
      </c>
      <c r="H42" s="6">
        <v>2</v>
      </c>
      <c r="I42" s="6" t="s">
        <v>69</v>
      </c>
      <c r="J42" s="6" t="s">
        <v>13</v>
      </c>
      <c r="K42" s="6" t="s">
        <v>14</v>
      </c>
      <c r="L42" s="6" t="s">
        <v>10</v>
      </c>
      <c r="M42" s="9" t="s">
        <v>15</v>
      </c>
      <c r="N42" s="10" t="s">
        <v>107</v>
      </c>
      <c r="O42" s="29" t="s">
        <v>220</v>
      </c>
    </row>
    <row r="43" spans="1:15" x14ac:dyDescent="0.25">
      <c r="A43" s="6" t="s">
        <v>104</v>
      </c>
      <c r="B43" s="6" t="s">
        <v>1</v>
      </c>
      <c r="C43" s="7" t="s">
        <v>33</v>
      </c>
      <c r="D43" s="8" t="s">
        <v>70</v>
      </c>
      <c r="E43" s="6" t="s">
        <v>105</v>
      </c>
      <c r="F43" s="6" t="s">
        <v>106</v>
      </c>
      <c r="G43" s="6" t="s">
        <v>12</v>
      </c>
      <c r="H43" s="6">
        <v>3</v>
      </c>
      <c r="I43" s="6" t="s">
        <v>69</v>
      </c>
      <c r="J43" s="6" t="s">
        <v>73</v>
      </c>
      <c r="K43" s="6" t="s">
        <v>77</v>
      </c>
      <c r="L43" s="6" t="s">
        <v>10</v>
      </c>
      <c r="M43" s="9" t="s">
        <v>15</v>
      </c>
      <c r="N43" s="10" t="s">
        <v>107</v>
      </c>
      <c r="O43" s="29" t="s">
        <v>220</v>
      </c>
    </row>
    <row r="44" spans="1:15" x14ac:dyDescent="0.25">
      <c r="A44" s="30" t="s">
        <v>104</v>
      </c>
      <c r="B44" s="30" t="s">
        <v>1</v>
      </c>
      <c r="C44" s="31" t="s">
        <v>33</v>
      </c>
      <c r="D44" s="32" t="s">
        <v>70</v>
      </c>
      <c r="E44" s="30" t="s">
        <v>105</v>
      </c>
      <c r="F44" s="30" t="s">
        <v>106</v>
      </c>
      <c r="G44" s="30" t="s">
        <v>16</v>
      </c>
      <c r="H44" s="30">
        <v>4</v>
      </c>
      <c r="I44" s="30" t="s">
        <v>17</v>
      </c>
      <c r="J44" s="30" t="s">
        <v>43</v>
      </c>
      <c r="K44" s="30" t="s">
        <v>44</v>
      </c>
      <c r="L44" s="30" t="s">
        <v>11</v>
      </c>
      <c r="M44" s="33" t="s">
        <v>45</v>
      </c>
      <c r="N44" s="34">
        <v>3300</v>
      </c>
      <c r="O44" s="29" t="s">
        <v>221</v>
      </c>
    </row>
    <row r="45" spans="1:15" x14ac:dyDescent="0.25">
      <c r="A45" s="6" t="s">
        <v>104</v>
      </c>
      <c r="B45" s="6" t="s">
        <v>1</v>
      </c>
      <c r="C45" s="7" t="s">
        <v>33</v>
      </c>
      <c r="D45" s="8" t="s">
        <v>70</v>
      </c>
      <c r="E45" s="6" t="s">
        <v>105</v>
      </c>
      <c r="F45" s="6" t="s">
        <v>106</v>
      </c>
      <c r="G45" s="6" t="s">
        <v>16</v>
      </c>
      <c r="H45" s="6">
        <v>5</v>
      </c>
      <c r="I45" s="6" t="s">
        <v>17</v>
      </c>
      <c r="J45" s="6" t="s">
        <v>18</v>
      </c>
      <c r="K45" s="6" t="s">
        <v>19</v>
      </c>
      <c r="L45" s="6" t="s">
        <v>11</v>
      </c>
      <c r="M45" s="9" t="s">
        <v>196</v>
      </c>
      <c r="N45" s="10">
        <v>40</v>
      </c>
      <c r="O45" s="29" t="s">
        <v>220</v>
      </c>
    </row>
    <row r="46" spans="1:15" x14ac:dyDescent="0.25">
      <c r="A46" s="30" t="s">
        <v>104</v>
      </c>
      <c r="B46" s="30" t="s">
        <v>1</v>
      </c>
      <c r="C46" s="31" t="s">
        <v>33</v>
      </c>
      <c r="D46" s="32" t="s">
        <v>70</v>
      </c>
      <c r="E46" s="30" t="s">
        <v>105</v>
      </c>
      <c r="F46" s="30" t="s">
        <v>106</v>
      </c>
      <c r="G46" s="30" t="s">
        <v>16</v>
      </c>
      <c r="H46" s="30">
        <v>6</v>
      </c>
      <c r="I46" s="30" t="s">
        <v>17</v>
      </c>
      <c r="J46" s="30" t="s">
        <v>41</v>
      </c>
      <c r="K46" s="30" t="s">
        <v>42</v>
      </c>
      <c r="L46" s="30" t="s">
        <v>11</v>
      </c>
      <c r="M46" s="33" t="s">
        <v>197</v>
      </c>
      <c r="N46" s="34">
        <v>60</v>
      </c>
      <c r="O46" s="29" t="s">
        <v>221</v>
      </c>
    </row>
    <row r="47" spans="1:15" x14ac:dyDescent="0.25">
      <c r="A47" s="6" t="s">
        <v>104</v>
      </c>
      <c r="B47" s="6" t="s">
        <v>1</v>
      </c>
      <c r="C47" s="7" t="s">
        <v>33</v>
      </c>
      <c r="D47" s="8" t="s">
        <v>70</v>
      </c>
      <c r="E47" s="6" t="s">
        <v>105</v>
      </c>
      <c r="F47" s="6" t="s">
        <v>106</v>
      </c>
      <c r="G47" s="6" t="s">
        <v>50</v>
      </c>
      <c r="H47" s="6">
        <v>7</v>
      </c>
      <c r="I47" s="6" t="s">
        <v>51</v>
      </c>
      <c r="J47" s="6" t="s">
        <v>52</v>
      </c>
      <c r="K47" s="6" t="s">
        <v>53</v>
      </c>
      <c r="L47" s="6" t="s">
        <v>10</v>
      </c>
      <c r="M47" s="9" t="s">
        <v>15</v>
      </c>
      <c r="N47" s="10" t="s">
        <v>54</v>
      </c>
      <c r="O47" s="29" t="s">
        <v>220</v>
      </c>
    </row>
    <row r="48" spans="1:15" x14ac:dyDescent="0.25">
      <c r="A48" s="6" t="s">
        <v>104</v>
      </c>
      <c r="B48" s="6" t="s">
        <v>1</v>
      </c>
      <c r="C48" s="7" t="s">
        <v>33</v>
      </c>
      <c r="D48" s="8" t="s">
        <v>70</v>
      </c>
      <c r="E48" s="6" t="s">
        <v>105</v>
      </c>
      <c r="F48" s="6" t="s">
        <v>106</v>
      </c>
      <c r="G48" s="6" t="s">
        <v>50</v>
      </c>
      <c r="H48" s="6">
        <v>8</v>
      </c>
      <c r="I48" s="6" t="s">
        <v>51</v>
      </c>
      <c r="J48" s="6" t="s">
        <v>55</v>
      </c>
      <c r="K48" s="6" t="s">
        <v>56</v>
      </c>
      <c r="L48" s="6" t="s">
        <v>10</v>
      </c>
      <c r="M48" s="9" t="s">
        <v>15</v>
      </c>
      <c r="N48" s="10" t="s">
        <v>57</v>
      </c>
      <c r="O48" s="29" t="s">
        <v>220</v>
      </c>
    </row>
    <row r="49" spans="1:15" x14ac:dyDescent="0.25">
      <c r="A49" s="6" t="s">
        <v>104</v>
      </c>
      <c r="B49" s="6" t="s">
        <v>1</v>
      </c>
      <c r="C49" s="7" t="s">
        <v>33</v>
      </c>
      <c r="D49" s="8" t="s">
        <v>70</v>
      </c>
      <c r="E49" s="6" t="s">
        <v>105</v>
      </c>
      <c r="F49" s="6" t="s">
        <v>106</v>
      </c>
      <c r="G49" s="6" t="s">
        <v>78</v>
      </c>
      <c r="H49" s="6">
        <v>9</v>
      </c>
      <c r="I49" s="6" t="s">
        <v>79</v>
      </c>
      <c r="J49" s="6" t="s">
        <v>80</v>
      </c>
      <c r="K49" s="6" t="s">
        <v>81</v>
      </c>
      <c r="L49" s="6" t="s">
        <v>10</v>
      </c>
      <c r="M49" s="9" t="s">
        <v>15</v>
      </c>
      <c r="N49" s="10" t="s">
        <v>107</v>
      </c>
      <c r="O49" s="29" t="s">
        <v>220</v>
      </c>
    </row>
    <row r="50" spans="1:15" x14ac:dyDescent="0.25">
      <c r="A50" s="6" t="s">
        <v>104</v>
      </c>
      <c r="B50" s="6" t="s">
        <v>1</v>
      </c>
      <c r="C50" s="7" t="s">
        <v>33</v>
      </c>
      <c r="D50" s="8" t="s">
        <v>70</v>
      </c>
      <c r="E50" s="6" t="s">
        <v>105</v>
      </c>
      <c r="F50" s="6" t="s">
        <v>106</v>
      </c>
      <c r="G50" s="6" t="s">
        <v>9</v>
      </c>
      <c r="H50" s="6">
        <v>10</v>
      </c>
      <c r="I50" s="6" t="s">
        <v>90</v>
      </c>
      <c r="J50" s="6" t="s">
        <v>91</v>
      </c>
      <c r="K50" s="6" t="s">
        <v>92</v>
      </c>
      <c r="L50" s="6" t="s">
        <v>93</v>
      </c>
      <c r="M50" s="9" t="s">
        <v>15</v>
      </c>
      <c r="N50" s="10" t="s">
        <v>94</v>
      </c>
      <c r="O50" s="29" t="s">
        <v>220</v>
      </c>
    </row>
    <row r="51" spans="1:15" x14ac:dyDescent="0.25">
      <c r="A51" s="6" t="s">
        <v>104</v>
      </c>
      <c r="B51" s="6" t="s">
        <v>1</v>
      </c>
      <c r="C51" s="7" t="s">
        <v>33</v>
      </c>
      <c r="D51" s="8" t="s">
        <v>70</v>
      </c>
      <c r="E51" s="6" t="s">
        <v>105</v>
      </c>
      <c r="F51" s="6" t="s">
        <v>106</v>
      </c>
      <c r="G51" s="6" t="s">
        <v>9</v>
      </c>
      <c r="H51" s="6">
        <v>11</v>
      </c>
      <c r="I51" s="6" t="s">
        <v>90</v>
      </c>
      <c r="J51" s="6" t="s">
        <v>95</v>
      </c>
      <c r="K51" s="6" t="s">
        <v>96</v>
      </c>
      <c r="L51" s="6" t="s">
        <v>93</v>
      </c>
      <c r="M51" s="9" t="s">
        <v>15</v>
      </c>
      <c r="N51" s="10" t="s">
        <v>94</v>
      </c>
      <c r="O51" s="29" t="s">
        <v>220</v>
      </c>
    </row>
    <row r="52" spans="1:15" x14ac:dyDescent="0.25">
      <c r="A52" s="6" t="s">
        <v>104</v>
      </c>
      <c r="B52" s="6" t="s">
        <v>1</v>
      </c>
      <c r="C52" s="7" t="s">
        <v>33</v>
      </c>
      <c r="D52" s="8" t="s">
        <v>70</v>
      </c>
      <c r="E52" s="6" t="s">
        <v>105</v>
      </c>
      <c r="F52" s="6" t="s">
        <v>106</v>
      </c>
      <c r="G52" s="6" t="s">
        <v>9</v>
      </c>
      <c r="H52" s="6">
        <v>12</v>
      </c>
      <c r="I52" s="6" t="s">
        <v>90</v>
      </c>
      <c r="J52" s="6" t="s">
        <v>82</v>
      </c>
      <c r="K52" s="6" t="s">
        <v>103</v>
      </c>
      <c r="L52" s="6" t="s">
        <v>93</v>
      </c>
      <c r="M52" s="9" t="s">
        <v>15</v>
      </c>
      <c r="N52" s="10" t="s">
        <v>94</v>
      </c>
      <c r="O52" s="29" t="s">
        <v>220</v>
      </c>
    </row>
    <row r="53" spans="1:15" x14ac:dyDescent="0.25">
      <c r="A53" s="11" t="s">
        <v>108</v>
      </c>
      <c r="B53" s="11" t="s">
        <v>1</v>
      </c>
      <c r="C53" s="12" t="s">
        <v>33</v>
      </c>
      <c r="D53" s="13" t="s">
        <v>109</v>
      </c>
      <c r="E53" s="11" t="s">
        <v>110</v>
      </c>
      <c r="F53" s="11" t="s">
        <v>111</v>
      </c>
      <c r="G53" s="11" t="s">
        <v>12</v>
      </c>
      <c r="H53" s="11">
        <v>1</v>
      </c>
      <c r="I53" s="11" t="s">
        <v>69</v>
      </c>
      <c r="J53" s="11" t="s">
        <v>34</v>
      </c>
      <c r="K53" s="11" t="s">
        <v>35</v>
      </c>
      <c r="L53" s="11" t="s">
        <v>10</v>
      </c>
      <c r="M53" s="15" t="s">
        <v>15</v>
      </c>
      <c r="N53" s="17" t="s">
        <v>112</v>
      </c>
      <c r="O53" s="35" t="s">
        <v>220</v>
      </c>
    </row>
    <row r="54" spans="1:15" x14ac:dyDescent="0.25">
      <c r="A54" s="11" t="s">
        <v>108</v>
      </c>
      <c r="B54" s="11" t="s">
        <v>1</v>
      </c>
      <c r="C54" s="12" t="s">
        <v>33</v>
      </c>
      <c r="D54" s="13" t="s">
        <v>109</v>
      </c>
      <c r="E54" s="11" t="s">
        <v>110</v>
      </c>
      <c r="F54" s="11" t="s">
        <v>111</v>
      </c>
      <c r="G54" s="11" t="s">
        <v>12</v>
      </c>
      <c r="H54" s="11">
        <v>2</v>
      </c>
      <c r="I54" s="11" t="s">
        <v>69</v>
      </c>
      <c r="J54" s="11" t="s">
        <v>13</v>
      </c>
      <c r="K54" s="11" t="s">
        <v>14</v>
      </c>
      <c r="L54" s="11" t="s">
        <v>10</v>
      </c>
      <c r="M54" s="15" t="s">
        <v>15</v>
      </c>
      <c r="N54" s="17" t="s">
        <v>113</v>
      </c>
      <c r="O54" s="35" t="s">
        <v>220</v>
      </c>
    </row>
    <row r="55" spans="1:15" x14ac:dyDescent="0.25">
      <c r="A55" s="11" t="s">
        <v>108</v>
      </c>
      <c r="B55" s="11" t="s">
        <v>1</v>
      </c>
      <c r="C55" s="12" t="s">
        <v>33</v>
      </c>
      <c r="D55" s="13" t="s">
        <v>109</v>
      </c>
      <c r="E55" s="11" t="s">
        <v>110</v>
      </c>
      <c r="F55" s="11" t="s">
        <v>111</v>
      </c>
      <c r="G55" s="11" t="s">
        <v>12</v>
      </c>
      <c r="H55" s="11">
        <v>3</v>
      </c>
      <c r="I55" s="11" t="s">
        <v>69</v>
      </c>
      <c r="J55" s="11" t="s">
        <v>38</v>
      </c>
      <c r="K55" s="11" t="s">
        <v>39</v>
      </c>
      <c r="L55" s="11" t="s">
        <v>10</v>
      </c>
      <c r="M55" s="15" t="s">
        <v>15</v>
      </c>
      <c r="N55" s="17" t="s">
        <v>113</v>
      </c>
      <c r="O55" s="35" t="s">
        <v>220</v>
      </c>
    </row>
    <row r="56" spans="1:15" x14ac:dyDescent="0.25">
      <c r="A56" s="11" t="s">
        <v>108</v>
      </c>
      <c r="B56" s="11" t="s">
        <v>1</v>
      </c>
      <c r="C56" s="12" t="s">
        <v>33</v>
      </c>
      <c r="D56" s="13" t="s">
        <v>109</v>
      </c>
      <c r="E56" s="11" t="s">
        <v>110</v>
      </c>
      <c r="F56" s="11" t="s">
        <v>111</v>
      </c>
      <c r="G56" s="11" t="s">
        <v>16</v>
      </c>
      <c r="H56" s="11">
        <v>4</v>
      </c>
      <c r="I56" s="11" t="s">
        <v>17</v>
      </c>
      <c r="J56" s="11" t="s">
        <v>48</v>
      </c>
      <c r="K56" s="11" t="s">
        <v>49</v>
      </c>
      <c r="L56" s="11" t="s">
        <v>11</v>
      </c>
      <c r="M56" s="15" t="s">
        <v>45</v>
      </c>
      <c r="N56" s="17">
        <v>2100</v>
      </c>
      <c r="O56" s="35" t="s">
        <v>220</v>
      </c>
    </row>
    <row r="57" spans="1:15" x14ac:dyDescent="0.25">
      <c r="A57" s="24" t="s">
        <v>108</v>
      </c>
      <c r="B57" s="24" t="s">
        <v>1</v>
      </c>
      <c r="C57" s="25" t="s">
        <v>33</v>
      </c>
      <c r="D57" s="26" t="s">
        <v>109</v>
      </c>
      <c r="E57" s="24" t="s">
        <v>110</v>
      </c>
      <c r="F57" s="24" t="s">
        <v>111</v>
      </c>
      <c r="G57" s="24" t="s">
        <v>16</v>
      </c>
      <c r="H57" s="24">
        <v>5</v>
      </c>
      <c r="I57" s="24" t="s">
        <v>17</v>
      </c>
      <c r="J57" s="24" t="s">
        <v>114</v>
      </c>
      <c r="K57" s="24" t="s">
        <v>115</v>
      </c>
      <c r="L57" s="24" t="s">
        <v>11</v>
      </c>
      <c r="M57" s="27" t="s">
        <v>45</v>
      </c>
      <c r="N57" s="28">
        <v>150</v>
      </c>
      <c r="O57" s="35" t="s">
        <v>221</v>
      </c>
    </row>
    <row r="58" spans="1:15" x14ac:dyDescent="0.25">
      <c r="A58" s="11" t="s">
        <v>108</v>
      </c>
      <c r="B58" s="11" t="s">
        <v>1</v>
      </c>
      <c r="C58" s="12" t="s">
        <v>33</v>
      </c>
      <c r="D58" s="13" t="s">
        <v>109</v>
      </c>
      <c r="E58" s="11" t="s">
        <v>110</v>
      </c>
      <c r="F58" s="11" t="s">
        <v>111</v>
      </c>
      <c r="G58" s="11" t="s">
        <v>16</v>
      </c>
      <c r="H58" s="11">
        <v>6</v>
      </c>
      <c r="I58" s="11" t="s">
        <v>17</v>
      </c>
      <c r="J58" s="11" t="s">
        <v>43</v>
      </c>
      <c r="K58" s="11" t="s">
        <v>44</v>
      </c>
      <c r="L58" s="11" t="s">
        <v>11</v>
      </c>
      <c r="M58" s="15" t="s">
        <v>45</v>
      </c>
      <c r="N58" s="17">
        <v>3300</v>
      </c>
      <c r="O58" s="35" t="s">
        <v>220</v>
      </c>
    </row>
    <row r="59" spans="1:15" x14ac:dyDescent="0.25">
      <c r="A59" s="11" t="s">
        <v>108</v>
      </c>
      <c r="B59" s="11" t="s">
        <v>1</v>
      </c>
      <c r="C59" s="12" t="s">
        <v>33</v>
      </c>
      <c r="D59" s="13" t="s">
        <v>109</v>
      </c>
      <c r="E59" s="11" t="s">
        <v>110</v>
      </c>
      <c r="F59" s="11" t="s">
        <v>111</v>
      </c>
      <c r="G59" s="11" t="s">
        <v>16</v>
      </c>
      <c r="H59" s="11">
        <v>7</v>
      </c>
      <c r="I59" s="11" t="s">
        <v>17</v>
      </c>
      <c r="J59" s="11" t="s">
        <v>41</v>
      </c>
      <c r="K59" s="11" t="s">
        <v>42</v>
      </c>
      <c r="L59" s="11" t="s">
        <v>11</v>
      </c>
      <c r="M59" s="15" t="s">
        <v>197</v>
      </c>
      <c r="N59" s="17" t="s">
        <v>116</v>
      </c>
      <c r="O59" s="35" t="s">
        <v>220</v>
      </c>
    </row>
    <row r="60" spans="1:15" x14ac:dyDescent="0.25">
      <c r="A60" s="11" t="s">
        <v>108</v>
      </c>
      <c r="B60" s="11" t="s">
        <v>1</v>
      </c>
      <c r="C60" s="12" t="s">
        <v>33</v>
      </c>
      <c r="D60" s="13" t="s">
        <v>109</v>
      </c>
      <c r="E60" s="11" t="s">
        <v>110</v>
      </c>
      <c r="F60" s="11" t="s">
        <v>111</v>
      </c>
      <c r="G60" s="11" t="s">
        <v>50</v>
      </c>
      <c r="H60" s="11">
        <v>8</v>
      </c>
      <c r="I60" s="11" t="s">
        <v>51</v>
      </c>
      <c r="J60" s="11" t="s">
        <v>52</v>
      </c>
      <c r="K60" s="11" t="s">
        <v>53</v>
      </c>
      <c r="L60" s="11" t="s">
        <v>10</v>
      </c>
      <c r="M60" s="15" t="s">
        <v>15</v>
      </c>
      <c r="N60" s="17" t="s">
        <v>54</v>
      </c>
      <c r="O60" s="35" t="s">
        <v>220</v>
      </c>
    </row>
    <row r="61" spans="1:15" x14ac:dyDescent="0.25">
      <c r="A61" s="11" t="s">
        <v>108</v>
      </c>
      <c r="B61" s="11" t="s">
        <v>1</v>
      </c>
      <c r="C61" s="12" t="s">
        <v>33</v>
      </c>
      <c r="D61" s="13" t="s">
        <v>109</v>
      </c>
      <c r="E61" s="11" t="s">
        <v>110</v>
      </c>
      <c r="F61" s="11" t="s">
        <v>111</v>
      </c>
      <c r="G61" s="11" t="s">
        <v>50</v>
      </c>
      <c r="H61" s="11">
        <v>9</v>
      </c>
      <c r="I61" s="11" t="s">
        <v>51</v>
      </c>
      <c r="J61" s="11" t="s">
        <v>55</v>
      </c>
      <c r="K61" s="11" t="s">
        <v>56</v>
      </c>
      <c r="L61" s="11" t="s">
        <v>10</v>
      </c>
      <c r="M61" s="15" t="s">
        <v>15</v>
      </c>
      <c r="N61" s="17" t="s">
        <v>57</v>
      </c>
      <c r="O61" s="35" t="s">
        <v>220</v>
      </c>
    </row>
    <row r="62" spans="1:15" x14ac:dyDescent="0.25">
      <c r="A62" s="6" t="s">
        <v>117</v>
      </c>
      <c r="B62" s="6" t="s">
        <v>1</v>
      </c>
      <c r="C62" s="7" t="s">
        <v>33</v>
      </c>
      <c r="D62" s="8" t="s">
        <v>118</v>
      </c>
      <c r="E62" s="6" t="s">
        <v>119</v>
      </c>
      <c r="F62" s="6" t="s">
        <v>120</v>
      </c>
      <c r="G62" s="6" t="s">
        <v>12</v>
      </c>
      <c r="H62" s="6">
        <v>1</v>
      </c>
      <c r="I62" s="6" t="s">
        <v>69</v>
      </c>
      <c r="J62" s="6" t="s">
        <v>34</v>
      </c>
      <c r="K62" s="6" t="s">
        <v>35</v>
      </c>
      <c r="L62" s="6" t="s">
        <v>10</v>
      </c>
      <c r="M62" s="9" t="s">
        <v>15</v>
      </c>
      <c r="N62" s="10" t="s">
        <v>121</v>
      </c>
      <c r="O62" s="29" t="s">
        <v>220</v>
      </c>
    </row>
    <row r="63" spans="1:15" x14ac:dyDescent="0.25">
      <c r="A63" s="6" t="s">
        <v>117</v>
      </c>
      <c r="B63" s="6" t="s">
        <v>1</v>
      </c>
      <c r="C63" s="7" t="s">
        <v>33</v>
      </c>
      <c r="D63" s="8" t="s">
        <v>118</v>
      </c>
      <c r="E63" s="6" t="s">
        <v>119</v>
      </c>
      <c r="F63" s="6" t="s">
        <v>120</v>
      </c>
      <c r="G63" s="6" t="s">
        <v>12</v>
      </c>
      <c r="H63" s="6">
        <v>2</v>
      </c>
      <c r="I63" s="6" t="s">
        <v>69</v>
      </c>
      <c r="J63" s="6" t="s">
        <v>13</v>
      </c>
      <c r="K63" s="6" t="s">
        <v>14</v>
      </c>
      <c r="L63" s="6" t="s">
        <v>10</v>
      </c>
      <c r="M63" s="9" t="s">
        <v>15</v>
      </c>
      <c r="N63" s="10" t="s">
        <v>122</v>
      </c>
      <c r="O63" s="29" t="s">
        <v>220</v>
      </c>
    </row>
    <row r="64" spans="1:15" x14ac:dyDescent="0.25">
      <c r="A64" s="6" t="s">
        <v>117</v>
      </c>
      <c r="B64" s="6" t="s">
        <v>1</v>
      </c>
      <c r="C64" s="7" t="s">
        <v>33</v>
      </c>
      <c r="D64" s="8" t="s">
        <v>118</v>
      </c>
      <c r="E64" s="6" t="s">
        <v>119</v>
      </c>
      <c r="F64" s="6" t="s">
        <v>120</v>
      </c>
      <c r="G64" s="6" t="s">
        <v>12</v>
      </c>
      <c r="H64" s="6">
        <v>3</v>
      </c>
      <c r="I64" s="6" t="s">
        <v>69</v>
      </c>
      <c r="J64" s="6" t="s">
        <v>38</v>
      </c>
      <c r="K64" s="6" t="s">
        <v>39</v>
      </c>
      <c r="L64" s="6" t="s">
        <v>10</v>
      </c>
      <c r="M64" s="9" t="s">
        <v>15</v>
      </c>
      <c r="N64" s="10" t="s">
        <v>122</v>
      </c>
      <c r="O64" s="29" t="s">
        <v>220</v>
      </c>
    </row>
    <row r="65" spans="1:15" x14ac:dyDescent="0.25">
      <c r="A65" s="30" t="s">
        <v>117</v>
      </c>
      <c r="B65" s="30" t="s">
        <v>1</v>
      </c>
      <c r="C65" s="31" t="s">
        <v>33</v>
      </c>
      <c r="D65" s="32" t="s">
        <v>118</v>
      </c>
      <c r="E65" s="30" t="s">
        <v>119</v>
      </c>
      <c r="F65" s="30" t="s">
        <v>120</v>
      </c>
      <c r="G65" s="30" t="s">
        <v>16</v>
      </c>
      <c r="H65" s="30">
        <v>4</v>
      </c>
      <c r="I65" s="30" t="s">
        <v>17</v>
      </c>
      <c r="J65" s="30" t="s">
        <v>48</v>
      </c>
      <c r="K65" s="30" t="s">
        <v>49</v>
      </c>
      <c r="L65" s="30" t="s">
        <v>11</v>
      </c>
      <c r="M65" s="33" t="s">
        <v>45</v>
      </c>
      <c r="N65" s="34">
        <v>2100</v>
      </c>
      <c r="O65" s="29" t="s">
        <v>221</v>
      </c>
    </row>
    <row r="66" spans="1:15" x14ac:dyDescent="0.25">
      <c r="A66" s="6" t="s">
        <v>117</v>
      </c>
      <c r="B66" s="6" t="s">
        <v>1</v>
      </c>
      <c r="C66" s="7" t="s">
        <v>33</v>
      </c>
      <c r="D66" s="8" t="s">
        <v>118</v>
      </c>
      <c r="E66" s="6" t="s">
        <v>119</v>
      </c>
      <c r="F66" s="6" t="s">
        <v>120</v>
      </c>
      <c r="G66" s="6" t="s">
        <v>16</v>
      </c>
      <c r="H66" s="6">
        <v>5</v>
      </c>
      <c r="I66" s="6" t="s">
        <v>17</v>
      </c>
      <c r="J66" s="6" t="s">
        <v>46</v>
      </c>
      <c r="K66" s="6" t="s">
        <v>47</v>
      </c>
      <c r="L66" s="6" t="s">
        <v>11</v>
      </c>
      <c r="M66" s="9" t="s">
        <v>45</v>
      </c>
      <c r="N66" s="10">
        <v>150</v>
      </c>
      <c r="O66" s="29" t="s">
        <v>220</v>
      </c>
    </row>
    <row r="67" spans="1:15" x14ac:dyDescent="0.25">
      <c r="A67" s="6" t="s">
        <v>117</v>
      </c>
      <c r="B67" s="6" t="s">
        <v>1</v>
      </c>
      <c r="C67" s="7" t="s">
        <v>33</v>
      </c>
      <c r="D67" s="8" t="s">
        <v>118</v>
      </c>
      <c r="E67" s="6" t="s">
        <v>119</v>
      </c>
      <c r="F67" s="6" t="s">
        <v>120</v>
      </c>
      <c r="G67" s="6" t="s">
        <v>16</v>
      </c>
      <c r="H67" s="6">
        <v>6</v>
      </c>
      <c r="I67" s="6" t="s">
        <v>17</v>
      </c>
      <c r="J67" s="6" t="s">
        <v>43</v>
      </c>
      <c r="K67" s="6" t="s">
        <v>44</v>
      </c>
      <c r="L67" s="6" t="s">
        <v>11</v>
      </c>
      <c r="M67" s="9" t="s">
        <v>45</v>
      </c>
      <c r="N67" s="10">
        <v>600</v>
      </c>
      <c r="O67" s="29" t="s">
        <v>220</v>
      </c>
    </row>
    <row r="68" spans="1:15" x14ac:dyDescent="0.25">
      <c r="A68" s="6" t="s">
        <v>117</v>
      </c>
      <c r="B68" s="6" t="s">
        <v>1</v>
      </c>
      <c r="C68" s="7" t="s">
        <v>33</v>
      </c>
      <c r="D68" s="8" t="s">
        <v>118</v>
      </c>
      <c r="E68" s="6" t="s">
        <v>119</v>
      </c>
      <c r="F68" s="6" t="s">
        <v>120</v>
      </c>
      <c r="G68" s="6" t="s">
        <v>16</v>
      </c>
      <c r="H68" s="6">
        <v>7</v>
      </c>
      <c r="I68" s="6" t="s">
        <v>17</v>
      </c>
      <c r="J68" s="6" t="s">
        <v>123</v>
      </c>
      <c r="K68" s="6" t="s">
        <v>124</v>
      </c>
      <c r="L68" s="6" t="s">
        <v>11</v>
      </c>
      <c r="M68" s="9" t="s">
        <v>45</v>
      </c>
      <c r="N68" s="10">
        <v>300</v>
      </c>
      <c r="O68" s="29" t="s">
        <v>220</v>
      </c>
    </row>
    <row r="69" spans="1:15" x14ac:dyDescent="0.25">
      <c r="A69" s="30" t="s">
        <v>117</v>
      </c>
      <c r="B69" s="30" t="s">
        <v>1</v>
      </c>
      <c r="C69" s="31" t="s">
        <v>33</v>
      </c>
      <c r="D69" s="32" t="s">
        <v>118</v>
      </c>
      <c r="E69" s="30" t="s">
        <v>119</v>
      </c>
      <c r="F69" s="30" t="s">
        <v>120</v>
      </c>
      <c r="G69" s="30" t="s">
        <v>16</v>
      </c>
      <c r="H69" s="30">
        <v>8</v>
      </c>
      <c r="I69" s="30" t="s">
        <v>17</v>
      </c>
      <c r="J69" s="30" t="s">
        <v>41</v>
      </c>
      <c r="K69" s="30" t="s">
        <v>42</v>
      </c>
      <c r="L69" s="30" t="s">
        <v>11</v>
      </c>
      <c r="M69" s="33" t="s">
        <v>197</v>
      </c>
      <c r="N69" s="34" t="s">
        <v>116</v>
      </c>
      <c r="O69" s="29" t="s">
        <v>221</v>
      </c>
    </row>
    <row r="70" spans="1:15" x14ac:dyDescent="0.25">
      <c r="A70" s="6" t="s">
        <v>117</v>
      </c>
      <c r="B70" s="6" t="s">
        <v>1</v>
      </c>
      <c r="C70" s="7" t="s">
        <v>33</v>
      </c>
      <c r="D70" s="8" t="s">
        <v>118</v>
      </c>
      <c r="E70" s="6" t="s">
        <v>119</v>
      </c>
      <c r="F70" s="6" t="s">
        <v>120</v>
      </c>
      <c r="G70" s="6" t="s">
        <v>50</v>
      </c>
      <c r="H70" s="6">
        <v>9</v>
      </c>
      <c r="I70" s="6" t="s">
        <v>51</v>
      </c>
      <c r="J70" s="6" t="s">
        <v>52</v>
      </c>
      <c r="K70" s="6" t="s">
        <v>53</v>
      </c>
      <c r="L70" s="6" t="s">
        <v>10</v>
      </c>
      <c r="M70" s="9" t="s">
        <v>15</v>
      </c>
      <c r="N70" s="10" t="s">
        <v>54</v>
      </c>
      <c r="O70" s="29" t="s">
        <v>220</v>
      </c>
    </row>
    <row r="71" spans="1:15" x14ac:dyDescent="0.25">
      <c r="A71" s="6" t="s">
        <v>117</v>
      </c>
      <c r="B71" s="6" t="s">
        <v>1</v>
      </c>
      <c r="C71" s="7" t="s">
        <v>33</v>
      </c>
      <c r="D71" s="8" t="s">
        <v>118</v>
      </c>
      <c r="E71" s="6" t="s">
        <v>119</v>
      </c>
      <c r="F71" s="6" t="s">
        <v>120</v>
      </c>
      <c r="G71" s="6" t="s">
        <v>50</v>
      </c>
      <c r="H71" s="6">
        <v>10</v>
      </c>
      <c r="I71" s="6" t="s">
        <v>51</v>
      </c>
      <c r="J71" s="6" t="s">
        <v>55</v>
      </c>
      <c r="K71" s="6" t="s">
        <v>56</v>
      </c>
      <c r="L71" s="6" t="s">
        <v>10</v>
      </c>
      <c r="M71" s="9" t="s">
        <v>15</v>
      </c>
      <c r="N71" s="10" t="s">
        <v>57</v>
      </c>
      <c r="O71" s="29" t="s">
        <v>220</v>
      </c>
    </row>
    <row r="72" spans="1:15" x14ac:dyDescent="0.25">
      <c r="A72" s="11" t="s">
        <v>125</v>
      </c>
      <c r="B72" s="11" t="s">
        <v>1</v>
      </c>
      <c r="C72" s="12" t="s">
        <v>33</v>
      </c>
      <c r="D72" s="13" t="s">
        <v>127</v>
      </c>
      <c r="E72" s="11" t="s">
        <v>126</v>
      </c>
      <c r="F72" s="11" t="s">
        <v>128</v>
      </c>
      <c r="G72" s="11" t="s">
        <v>12</v>
      </c>
      <c r="H72" s="11">
        <v>1</v>
      </c>
      <c r="I72" s="11" t="s">
        <v>69</v>
      </c>
      <c r="J72" s="11" t="s">
        <v>34</v>
      </c>
      <c r="K72" s="11" t="s">
        <v>35</v>
      </c>
      <c r="L72" s="11" t="s">
        <v>10</v>
      </c>
      <c r="M72" s="15" t="s">
        <v>15</v>
      </c>
      <c r="N72" s="17" t="s">
        <v>129</v>
      </c>
      <c r="O72" s="35" t="s">
        <v>220</v>
      </c>
    </row>
    <row r="73" spans="1:15" x14ac:dyDescent="0.25">
      <c r="A73" s="11" t="s">
        <v>125</v>
      </c>
      <c r="B73" s="11" t="s">
        <v>1</v>
      </c>
      <c r="C73" s="12" t="s">
        <v>33</v>
      </c>
      <c r="D73" s="13" t="s">
        <v>127</v>
      </c>
      <c r="E73" s="11" t="s">
        <v>126</v>
      </c>
      <c r="F73" s="11" t="s">
        <v>128</v>
      </c>
      <c r="G73" s="11" t="s">
        <v>12</v>
      </c>
      <c r="H73" s="11">
        <v>2</v>
      </c>
      <c r="I73" s="11" t="s">
        <v>69</v>
      </c>
      <c r="J73" s="11" t="s">
        <v>13</v>
      </c>
      <c r="K73" s="11" t="s">
        <v>14</v>
      </c>
      <c r="L73" s="11" t="s">
        <v>10</v>
      </c>
      <c r="M73" s="15" t="s">
        <v>15</v>
      </c>
      <c r="N73" s="17" t="s">
        <v>130</v>
      </c>
      <c r="O73" s="35" t="s">
        <v>220</v>
      </c>
    </row>
    <row r="74" spans="1:15" x14ac:dyDescent="0.25">
      <c r="A74" s="11" t="s">
        <v>125</v>
      </c>
      <c r="B74" s="11" t="s">
        <v>1</v>
      </c>
      <c r="C74" s="12" t="s">
        <v>33</v>
      </c>
      <c r="D74" s="13" t="s">
        <v>127</v>
      </c>
      <c r="E74" s="11" t="s">
        <v>126</v>
      </c>
      <c r="F74" s="11" t="s">
        <v>128</v>
      </c>
      <c r="G74" s="11" t="s">
        <v>12</v>
      </c>
      <c r="H74" s="11">
        <v>3</v>
      </c>
      <c r="I74" s="11" t="s">
        <v>69</v>
      </c>
      <c r="J74" s="11" t="s">
        <v>38</v>
      </c>
      <c r="K74" s="11" t="s">
        <v>39</v>
      </c>
      <c r="L74" s="11" t="s">
        <v>10</v>
      </c>
      <c r="M74" s="15" t="s">
        <v>15</v>
      </c>
      <c r="N74" s="17" t="s">
        <v>126</v>
      </c>
      <c r="O74" s="35" t="s">
        <v>220</v>
      </c>
    </row>
    <row r="75" spans="1:15" x14ac:dyDescent="0.25">
      <c r="A75" s="24" t="s">
        <v>125</v>
      </c>
      <c r="B75" s="24" t="s">
        <v>1</v>
      </c>
      <c r="C75" s="25" t="s">
        <v>33</v>
      </c>
      <c r="D75" s="26" t="s">
        <v>127</v>
      </c>
      <c r="E75" s="24" t="s">
        <v>126</v>
      </c>
      <c r="F75" s="24" t="s">
        <v>128</v>
      </c>
      <c r="G75" s="24" t="s">
        <v>16</v>
      </c>
      <c r="H75" s="24">
        <v>4</v>
      </c>
      <c r="I75" s="24" t="s">
        <v>17</v>
      </c>
      <c r="J75" s="24" t="s">
        <v>46</v>
      </c>
      <c r="K75" s="24" t="s">
        <v>47</v>
      </c>
      <c r="L75" s="24" t="s">
        <v>11</v>
      </c>
      <c r="M75" s="27" t="s">
        <v>45</v>
      </c>
      <c r="N75" s="28">
        <v>2100</v>
      </c>
      <c r="O75" s="35" t="s">
        <v>221</v>
      </c>
    </row>
    <row r="76" spans="1:15" x14ac:dyDescent="0.25">
      <c r="A76" s="24" t="s">
        <v>125</v>
      </c>
      <c r="B76" s="24" t="s">
        <v>1</v>
      </c>
      <c r="C76" s="25" t="s">
        <v>33</v>
      </c>
      <c r="D76" s="26" t="s">
        <v>127</v>
      </c>
      <c r="E76" s="24" t="s">
        <v>126</v>
      </c>
      <c r="F76" s="24" t="s">
        <v>128</v>
      </c>
      <c r="G76" s="24" t="s">
        <v>16</v>
      </c>
      <c r="H76" s="24">
        <v>5</v>
      </c>
      <c r="I76" s="24" t="s">
        <v>17</v>
      </c>
      <c r="J76" s="24" t="s">
        <v>43</v>
      </c>
      <c r="K76" s="24" t="s">
        <v>44</v>
      </c>
      <c r="L76" s="24" t="s">
        <v>11</v>
      </c>
      <c r="M76" s="27" t="s">
        <v>45</v>
      </c>
      <c r="N76" s="28">
        <v>3300</v>
      </c>
      <c r="O76" s="35" t="s">
        <v>221</v>
      </c>
    </row>
    <row r="77" spans="1:15" x14ac:dyDescent="0.25">
      <c r="A77" s="11" t="s">
        <v>125</v>
      </c>
      <c r="B77" s="11" t="s">
        <v>1</v>
      </c>
      <c r="C77" s="12" t="s">
        <v>33</v>
      </c>
      <c r="D77" s="13" t="s">
        <v>127</v>
      </c>
      <c r="E77" s="11" t="s">
        <v>126</v>
      </c>
      <c r="F77" s="11" t="s">
        <v>128</v>
      </c>
      <c r="G77" s="11" t="s">
        <v>50</v>
      </c>
      <c r="H77" s="11">
        <v>6</v>
      </c>
      <c r="I77" s="11" t="s">
        <v>51</v>
      </c>
      <c r="J77" s="11" t="s">
        <v>52</v>
      </c>
      <c r="K77" s="11" t="s">
        <v>53</v>
      </c>
      <c r="L77" s="11" t="s">
        <v>10</v>
      </c>
      <c r="M77" s="15" t="s">
        <v>15</v>
      </c>
      <c r="N77" s="17" t="s">
        <v>54</v>
      </c>
      <c r="O77" s="35" t="s">
        <v>220</v>
      </c>
    </row>
    <row r="78" spans="1:15" x14ac:dyDescent="0.25">
      <c r="A78" s="11" t="s">
        <v>125</v>
      </c>
      <c r="B78" s="11" t="s">
        <v>1</v>
      </c>
      <c r="C78" s="12" t="s">
        <v>33</v>
      </c>
      <c r="D78" s="13" t="s">
        <v>127</v>
      </c>
      <c r="E78" s="11" t="s">
        <v>126</v>
      </c>
      <c r="F78" s="11" t="s">
        <v>128</v>
      </c>
      <c r="G78" s="11" t="s">
        <v>50</v>
      </c>
      <c r="H78" s="11">
        <v>7</v>
      </c>
      <c r="I78" s="11" t="s">
        <v>51</v>
      </c>
      <c r="J78" s="11" t="s">
        <v>55</v>
      </c>
      <c r="K78" s="11" t="s">
        <v>56</v>
      </c>
      <c r="L78" s="11" t="s">
        <v>10</v>
      </c>
      <c r="M78" s="15" t="s">
        <v>15</v>
      </c>
      <c r="N78" s="17" t="s">
        <v>57</v>
      </c>
      <c r="O78" s="35" t="s">
        <v>220</v>
      </c>
    </row>
    <row r="79" spans="1:15" x14ac:dyDescent="0.25">
      <c r="A79" s="6" t="s">
        <v>131</v>
      </c>
      <c r="B79" s="6" t="s">
        <v>1</v>
      </c>
      <c r="C79" s="7" t="s">
        <v>33</v>
      </c>
      <c r="D79" s="8" t="s">
        <v>132</v>
      </c>
      <c r="E79" s="6" t="s">
        <v>133</v>
      </c>
      <c r="F79" s="6" t="s">
        <v>134</v>
      </c>
      <c r="G79" s="6" t="s">
        <v>12</v>
      </c>
      <c r="H79" s="6">
        <v>1</v>
      </c>
      <c r="I79" s="6" t="s">
        <v>69</v>
      </c>
      <c r="J79" s="6" t="s">
        <v>34</v>
      </c>
      <c r="K79" s="6" t="s">
        <v>35</v>
      </c>
      <c r="L79" s="6" t="s">
        <v>10</v>
      </c>
      <c r="M79" s="9" t="s">
        <v>15</v>
      </c>
      <c r="N79" s="10" t="s">
        <v>135</v>
      </c>
      <c r="O79" s="29" t="s">
        <v>220</v>
      </c>
    </row>
    <row r="80" spans="1:15" x14ac:dyDescent="0.25">
      <c r="A80" s="6" t="s">
        <v>131</v>
      </c>
      <c r="B80" s="6" t="s">
        <v>1</v>
      </c>
      <c r="C80" s="7" t="s">
        <v>33</v>
      </c>
      <c r="D80" s="8" t="s">
        <v>132</v>
      </c>
      <c r="E80" s="6" t="s">
        <v>133</v>
      </c>
      <c r="F80" s="6" t="s">
        <v>134</v>
      </c>
      <c r="G80" s="6" t="s">
        <v>12</v>
      </c>
      <c r="H80" s="6">
        <v>2</v>
      </c>
      <c r="I80" s="6" t="s">
        <v>69</v>
      </c>
      <c r="J80" s="6" t="s">
        <v>13</v>
      </c>
      <c r="K80" s="6" t="s">
        <v>14</v>
      </c>
      <c r="L80" s="6" t="s">
        <v>10</v>
      </c>
      <c r="M80" s="9" t="s">
        <v>15</v>
      </c>
      <c r="N80" s="10" t="s">
        <v>136</v>
      </c>
      <c r="O80" s="29" t="s">
        <v>220</v>
      </c>
    </row>
    <row r="81" spans="1:15" x14ac:dyDescent="0.25">
      <c r="A81" s="6" t="s">
        <v>131</v>
      </c>
      <c r="B81" s="6" t="s">
        <v>1</v>
      </c>
      <c r="C81" s="7" t="s">
        <v>33</v>
      </c>
      <c r="D81" s="8" t="s">
        <v>132</v>
      </c>
      <c r="E81" s="6" t="s">
        <v>133</v>
      </c>
      <c r="F81" s="6" t="s">
        <v>134</v>
      </c>
      <c r="G81" s="6" t="s">
        <v>12</v>
      </c>
      <c r="H81" s="6">
        <v>3</v>
      </c>
      <c r="I81" s="6" t="s">
        <v>69</v>
      </c>
      <c r="J81" s="6" t="s">
        <v>38</v>
      </c>
      <c r="K81" s="6" t="s">
        <v>39</v>
      </c>
      <c r="L81" s="6" t="s">
        <v>10</v>
      </c>
      <c r="M81" s="9" t="s">
        <v>15</v>
      </c>
      <c r="N81" s="10" t="s">
        <v>137</v>
      </c>
      <c r="O81" s="29" t="s">
        <v>220</v>
      </c>
    </row>
    <row r="82" spans="1:15" x14ac:dyDescent="0.25">
      <c r="A82" s="6" t="s">
        <v>131</v>
      </c>
      <c r="B82" s="6" t="s">
        <v>1</v>
      </c>
      <c r="C82" s="7" t="s">
        <v>33</v>
      </c>
      <c r="D82" s="8" t="s">
        <v>132</v>
      </c>
      <c r="E82" s="6" t="s">
        <v>133</v>
      </c>
      <c r="F82" s="6" t="s">
        <v>134</v>
      </c>
      <c r="G82" s="6" t="s">
        <v>16</v>
      </c>
      <c r="H82" s="6">
        <v>4</v>
      </c>
      <c r="I82" s="6" t="s">
        <v>17</v>
      </c>
      <c r="J82" s="6" t="s">
        <v>138</v>
      </c>
      <c r="K82" s="6" t="s">
        <v>139</v>
      </c>
      <c r="L82" s="6" t="s">
        <v>11</v>
      </c>
      <c r="M82" s="9" t="s">
        <v>140</v>
      </c>
      <c r="N82" s="10">
        <v>20</v>
      </c>
      <c r="O82" s="29" t="s">
        <v>220</v>
      </c>
    </row>
    <row r="83" spans="1:15" x14ac:dyDescent="0.25">
      <c r="A83" s="30" t="s">
        <v>131</v>
      </c>
      <c r="B83" s="30" t="s">
        <v>1</v>
      </c>
      <c r="C83" s="31" t="s">
        <v>33</v>
      </c>
      <c r="D83" s="32" t="s">
        <v>132</v>
      </c>
      <c r="E83" s="30" t="s">
        <v>133</v>
      </c>
      <c r="F83" s="30" t="s">
        <v>134</v>
      </c>
      <c r="G83" s="30" t="s">
        <v>16</v>
      </c>
      <c r="H83" s="30">
        <v>5</v>
      </c>
      <c r="I83" s="30" t="s">
        <v>17</v>
      </c>
      <c r="J83" s="30" t="s">
        <v>46</v>
      </c>
      <c r="K83" s="30" t="s">
        <v>47</v>
      </c>
      <c r="L83" s="30" t="s">
        <v>11</v>
      </c>
      <c r="M83" s="33" t="s">
        <v>45</v>
      </c>
      <c r="N83" s="34">
        <v>2100</v>
      </c>
      <c r="O83" s="29" t="s">
        <v>221</v>
      </c>
    </row>
    <row r="84" spans="1:15" x14ac:dyDescent="0.25">
      <c r="A84" s="30" t="s">
        <v>131</v>
      </c>
      <c r="B84" s="30" t="s">
        <v>1</v>
      </c>
      <c r="C84" s="31" t="s">
        <v>33</v>
      </c>
      <c r="D84" s="32" t="s">
        <v>132</v>
      </c>
      <c r="E84" s="30" t="s">
        <v>133</v>
      </c>
      <c r="F84" s="30" t="s">
        <v>134</v>
      </c>
      <c r="G84" s="30" t="s">
        <v>16</v>
      </c>
      <c r="H84" s="30">
        <v>6</v>
      </c>
      <c r="I84" s="30" t="s">
        <v>17</v>
      </c>
      <c r="J84" s="30" t="s">
        <v>43</v>
      </c>
      <c r="K84" s="30" t="s">
        <v>44</v>
      </c>
      <c r="L84" s="30" t="s">
        <v>11</v>
      </c>
      <c r="M84" s="33" t="s">
        <v>45</v>
      </c>
      <c r="N84" s="34">
        <v>3300</v>
      </c>
      <c r="O84" s="29" t="s">
        <v>221</v>
      </c>
    </row>
    <row r="85" spans="1:15" x14ac:dyDescent="0.25">
      <c r="A85" s="6" t="s">
        <v>131</v>
      </c>
      <c r="B85" s="6" t="s">
        <v>1</v>
      </c>
      <c r="C85" s="7" t="s">
        <v>33</v>
      </c>
      <c r="D85" s="8" t="s">
        <v>132</v>
      </c>
      <c r="E85" s="6" t="s">
        <v>133</v>
      </c>
      <c r="F85" s="6" t="s">
        <v>134</v>
      </c>
      <c r="G85" s="6" t="s">
        <v>50</v>
      </c>
      <c r="H85" s="6">
        <v>7</v>
      </c>
      <c r="I85" s="6" t="s">
        <v>51</v>
      </c>
      <c r="J85" s="6" t="s">
        <v>52</v>
      </c>
      <c r="K85" s="6" t="s">
        <v>53</v>
      </c>
      <c r="L85" s="6" t="s">
        <v>10</v>
      </c>
      <c r="M85" s="9" t="s">
        <v>15</v>
      </c>
      <c r="N85" s="10" t="s">
        <v>54</v>
      </c>
      <c r="O85" s="29" t="s">
        <v>220</v>
      </c>
    </row>
    <row r="86" spans="1:15" x14ac:dyDescent="0.25">
      <c r="A86" s="6" t="s">
        <v>131</v>
      </c>
      <c r="B86" s="6" t="s">
        <v>1</v>
      </c>
      <c r="C86" s="7" t="s">
        <v>33</v>
      </c>
      <c r="D86" s="8" t="s">
        <v>132</v>
      </c>
      <c r="E86" s="6" t="s">
        <v>133</v>
      </c>
      <c r="F86" s="6" t="s">
        <v>134</v>
      </c>
      <c r="G86" s="6" t="s">
        <v>50</v>
      </c>
      <c r="H86" s="6">
        <v>8</v>
      </c>
      <c r="I86" s="6" t="s">
        <v>51</v>
      </c>
      <c r="J86" s="6" t="s">
        <v>55</v>
      </c>
      <c r="K86" s="6" t="s">
        <v>56</v>
      </c>
      <c r="L86" s="6" t="s">
        <v>10</v>
      </c>
      <c r="M86" s="9" t="s">
        <v>15</v>
      </c>
      <c r="N86" s="10" t="s">
        <v>57</v>
      </c>
      <c r="O86" s="29" t="s">
        <v>220</v>
      </c>
    </row>
    <row r="87" spans="1:15" x14ac:dyDescent="0.25">
      <c r="A87" s="11" t="s">
        <v>141</v>
      </c>
      <c r="B87" s="11" t="s">
        <v>1</v>
      </c>
      <c r="C87" s="12" t="s">
        <v>33</v>
      </c>
      <c r="D87" s="13" t="s">
        <v>142</v>
      </c>
      <c r="E87" s="11" t="s">
        <v>143</v>
      </c>
      <c r="F87" s="11" t="s">
        <v>144</v>
      </c>
      <c r="G87" s="11" t="s">
        <v>12</v>
      </c>
      <c r="H87" s="11">
        <v>1</v>
      </c>
      <c r="I87" s="11" t="s">
        <v>69</v>
      </c>
      <c r="J87" s="11" t="s">
        <v>34</v>
      </c>
      <c r="K87" s="11" t="s">
        <v>35</v>
      </c>
      <c r="L87" s="11" t="s">
        <v>10</v>
      </c>
      <c r="M87" s="15" t="s">
        <v>15</v>
      </c>
      <c r="N87" s="17" t="s">
        <v>145</v>
      </c>
      <c r="O87" s="35" t="s">
        <v>220</v>
      </c>
    </row>
    <row r="88" spans="1:15" x14ac:dyDescent="0.25">
      <c r="A88" s="11" t="s">
        <v>141</v>
      </c>
      <c r="B88" s="11" t="s">
        <v>1</v>
      </c>
      <c r="C88" s="12" t="s">
        <v>33</v>
      </c>
      <c r="D88" s="13" t="s">
        <v>142</v>
      </c>
      <c r="E88" s="11" t="s">
        <v>143</v>
      </c>
      <c r="F88" s="11" t="s">
        <v>144</v>
      </c>
      <c r="G88" s="11" t="s">
        <v>12</v>
      </c>
      <c r="H88" s="11">
        <v>2</v>
      </c>
      <c r="I88" s="11" t="s">
        <v>69</v>
      </c>
      <c r="J88" s="11" t="s">
        <v>13</v>
      </c>
      <c r="K88" s="11" t="s">
        <v>14</v>
      </c>
      <c r="L88" s="11" t="s">
        <v>10</v>
      </c>
      <c r="M88" s="15" t="s">
        <v>15</v>
      </c>
      <c r="N88" s="17" t="s">
        <v>146</v>
      </c>
      <c r="O88" s="35" t="s">
        <v>220</v>
      </c>
    </row>
    <row r="89" spans="1:15" x14ac:dyDescent="0.25">
      <c r="A89" s="11" t="s">
        <v>141</v>
      </c>
      <c r="B89" s="11" t="s">
        <v>1</v>
      </c>
      <c r="C89" s="12" t="s">
        <v>33</v>
      </c>
      <c r="D89" s="13" t="s">
        <v>142</v>
      </c>
      <c r="E89" s="11" t="s">
        <v>143</v>
      </c>
      <c r="F89" s="11" t="s">
        <v>144</v>
      </c>
      <c r="G89" s="11" t="s">
        <v>12</v>
      </c>
      <c r="H89" s="11">
        <v>3</v>
      </c>
      <c r="I89" s="11" t="s">
        <v>69</v>
      </c>
      <c r="J89" s="11" t="s">
        <v>38</v>
      </c>
      <c r="K89" s="11" t="s">
        <v>39</v>
      </c>
      <c r="L89" s="11" t="s">
        <v>10</v>
      </c>
      <c r="M89" s="15" t="s">
        <v>15</v>
      </c>
      <c r="N89" s="17" t="s">
        <v>143</v>
      </c>
      <c r="O89" s="35" t="s">
        <v>220</v>
      </c>
    </row>
    <row r="90" spans="1:15" x14ac:dyDescent="0.25">
      <c r="A90" s="11" t="s">
        <v>141</v>
      </c>
      <c r="B90" s="11" t="s">
        <v>1</v>
      </c>
      <c r="C90" s="12" t="s">
        <v>33</v>
      </c>
      <c r="D90" s="13" t="s">
        <v>142</v>
      </c>
      <c r="E90" s="11" t="s">
        <v>143</v>
      </c>
      <c r="F90" s="11" t="s">
        <v>144</v>
      </c>
      <c r="G90" s="11" t="s">
        <v>16</v>
      </c>
      <c r="H90" s="11">
        <v>4</v>
      </c>
      <c r="I90" s="11" t="s">
        <v>17</v>
      </c>
      <c r="J90" s="11" t="s">
        <v>114</v>
      </c>
      <c r="K90" s="11" t="s">
        <v>115</v>
      </c>
      <c r="L90" s="11" t="s">
        <v>11</v>
      </c>
      <c r="M90" s="15" t="s">
        <v>45</v>
      </c>
      <c r="N90" s="17">
        <v>150</v>
      </c>
      <c r="O90" s="35" t="s">
        <v>220</v>
      </c>
    </row>
    <row r="91" spans="1:15" x14ac:dyDescent="0.25">
      <c r="A91" s="24" t="s">
        <v>141</v>
      </c>
      <c r="B91" s="24" t="s">
        <v>1</v>
      </c>
      <c r="C91" s="25" t="s">
        <v>33</v>
      </c>
      <c r="D91" s="26" t="s">
        <v>142</v>
      </c>
      <c r="E91" s="24" t="s">
        <v>143</v>
      </c>
      <c r="F91" s="24" t="s">
        <v>144</v>
      </c>
      <c r="G91" s="24" t="s">
        <v>16</v>
      </c>
      <c r="H91" s="24">
        <v>5</v>
      </c>
      <c r="I91" s="24" t="s">
        <v>17</v>
      </c>
      <c r="J91" s="24" t="s">
        <v>48</v>
      </c>
      <c r="K91" s="24" t="s">
        <v>49</v>
      </c>
      <c r="L91" s="24" t="s">
        <v>11</v>
      </c>
      <c r="M91" s="27" t="s">
        <v>45</v>
      </c>
      <c r="N91" s="28">
        <v>21000</v>
      </c>
      <c r="O91" s="35" t="s">
        <v>221</v>
      </c>
    </row>
    <row r="92" spans="1:15" x14ac:dyDescent="0.25">
      <c r="A92" s="24" t="s">
        <v>141</v>
      </c>
      <c r="B92" s="24" t="s">
        <v>1</v>
      </c>
      <c r="C92" s="25" t="s">
        <v>33</v>
      </c>
      <c r="D92" s="26" t="s">
        <v>142</v>
      </c>
      <c r="E92" s="24" t="s">
        <v>143</v>
      </c>
      <c r="F92" s="24" t="s">
        <v>144</v>
      </c>
      <c r="G92" s="24" t="s">
        <v>16</v>
      </c>
      <c r="H92" s="24">
        <v>6</v>
      </c>
      <c r="I92" s="24" t="s">
        <v>17</v>
      </c>
      <c r="J92" s="24" t="s">
        <v>41</v>
      </c>
      <c r="K92" s="24" t="s">
        <v>42</v>
      </c>
      <c r="L92" s="24" t="s">
        <v>11</v>
      </c>
      <c r="M92" s="27" t="s">
        <v>197</v>
      </c>
      <c r="N92" s="28">
        <v>20</v>
      </c>
      <c r="O92" s="35" t="s">
        <v>221</v>
      </c>
    </row>
    <row r="93" spans="1:15" x14ac:dyDescent="0.25">
      <c r="A93" s="24" t="s">
        <v>141</v>
      </c>
      <c r="B93" s="24" t="s">
        <v>1</v>
      </c>
      <c r="C93" s="25" t="s">
        <v>33</v>
      </c>
      <c r="D93" s="26" t="s">
        <v>142</v>
      </c>
      <c r="E93" s="24" t="s">
        <v>143</v>
      </c>
      <c r="F93" s="24" t="s">
        <v>144</v>
      </c>
      <c r="G93" s="24" t="s">
        <v>16</v>
      </c>
      <c r="H93" s="24">
        <v>7</v>
      </c>
      <c r="I93" s="24" t="s">
        <v>17</v>
      </c>
      <c r="J93" s="24" t="s">
        <v>46</v>
      </c>
      <c r="K93" s="24" t="s">
        <v>47</v>
      </c>
      <c r="L93" s="24" t="s">
        <v>11</v>
      </c>
      <c r="M93" s="27" t="s">
        <v>45</v>
      </c>
      <c r="N93" s="28">
        <v>10100</v>
      </c>
      <c r="O93" s="35" t="s">
        <v>221</v>
      </c>
    </row>
    <row r="94" spans="1:15" x14ac:dyDescent="0.25">
      <c r="A94" s="11" t="s">
        <v>141</v>
      </c>
      <c r="B94" s="11" t="s">
        <v>1</v>
      </c>
      <c r="C94" s="12" t="s">
        <v>33</v>
      </c>
      <c r="D94" s="13" t="s">
        <v>142</v>
      </c>
      <c r="E94" s="11" t="s">
        <v>143</v>
      </c>
      <c r="F94" s="11" t="s">
        <v>144</v>
      </c>
      <c r="G94" s="11" t="s">
        <v>50</v>
      </c>
      <c r="H94" s="11">
        <v>8</v>
      </c>
      <c r="I94" s="11" t="s">
        <v>51</v>
      </c>
      <c r="J94" s="11" t="s">
        <v>52</v>
      </c>
      <c r="K94" s="11" t="s">
        <v>53</v>
      </c>
      <c r="L94" s="11" t="s">
        <v>10</v>
      </c>
      <c r="M94" s="15" t="s">
        <v>15</v>
      </c>
      <c r="N94" s="17" t="s">
        <v>54</v>
      </c>
      <c r="O94" s="35" t="s">
        <v>220</v>
      </c>
    </row>
    <row r="95" spans="1:15" x14ac:dyDescent="0.25">
      <c r="A95" s="11" t="s">
        <v>141</v>
      </c>
      <c r="B95" s="11" t="s">
        <v>1</v>
      </c>
      <c r="C95" s="12" t="s">
        <v>33</v>
      </c>
      <c r="D95" s="13" t="s">
        <v>142</v>
      </c>
      <c r="E95" s="11" t="s">
        <v>143</v>
      </c>
      <c r="F95" s="11" t="s">
        <v>144</v>
      </c>
      <c r="G95" s="11" t="s">
        <v>50</v>
      </c>
      <c r="H95" s="11">
        <v>9</v>
      </c>
      <c r="I95" s="11" t="s">
        <v>51</v>
      </c>
      <c r="J95" s="11" t="s">
        <v>55</v>
      </c>
      <c r="K95" s="11" t="s">
        <v>56</v>
      </c>
      <c r="L95" s="11" t="s">
        <v>10</v>
      </c>
      <c r="M95" s="15" t="s">
        <v>15</v>
      </c>
      <c r="N95" s="17" t="s">
        <v>57</v>
      </c>
      <c r="O95" s="35" t="s">
        <v>220</v>
      </c>
    </row>
    <row r="96" spans="1:15" s="36" customFormat="1" x14ac:dyDescent="0.25">
      <c r="A96" s="42" t="s">
        <v>147</v>
      </c>
      <c r="B96" s="42" t="s">
        <v>1</v>
      </c>
      <c r="C96" s="43" t="s">
        <v>33</v>
      </c>
      <c r="D96" s="44" t="s">
        <v>148</v>
      </c>
      <c r="E96" s="42" t="s">
        <v>149</v>
      </c>
      <c r="F96" s="42" t="s">
        <v>150</v>
      </c>
      <c r="G96" s="42" t="s">
        <v>12</v>
      </c>
      <c r="H96" s="42">
        <v>1</v>
      </c>
      <c r="I96" s="42" t="s">
        <v>69</v>
      </c>
      <c r="J96" s="42" t="s">
        <v>34</v>
      </c>
      <c r="K96" s="42" t="s">
        <v>35</v>
      </c>
      <c r="L96" s="42" t="s">
        <v>10</v>
      </c>
      <c r="M96" s="45" t="s">
        <v>15</v>
      </c>
      <c r="N96" s="46" t="s">
        <v>151</v>
      </c>
      <c r="O96" s="47" t="s">
        <v>220</v>
      </c>
    </row>
    <row r="97" spans="1:15" s="36" customFormat="1" x14ac:dyDescent="0.25">
      <c r="A97" s="42" t="s">
        <v>147</v>
      </c>
      <c r="B97" s="42" t="s">
        <v>1</v>
      </c>
      <c r="C97" s="43" t="s">
        <v>33</v>
      </c>
      <c r="D97" s="44" t="s">
        <v>148</v>
      </c>
      <c r="E97" s="42" t="s">
        <v>149</v>
      </c>
      <c r="F97" s="42" t="s">
        <v>150</v>
      </c>
      <c r="G97" s="42" t="s">
        <v>12</v>
      </c>
      <c r="H97" s="42">
        <v>2</v>
      </c>
      <c r="I97" s="42" t="s">
        <v>69</v>
      </c>
      <c r="J97" s="42" t="s">
        <v>152</v>
      </c>
      <c r="K97" s="42" t="s">
        <v>153</v>
      </c>
      <c r="L97" s="42" t="s">
        <v>10</v>
      </c>
      <c r="M97" s="45" t="s">
        <v>15</v>
      </c>
      <c r="N97" s="46" t="s">
        <v>154</v>
      </c>
      <c r="O97" s="47" t="s">
        <v>220</v>
      </c>
    </row>
    <row r="98" spans="1:15" s="36" customFormat="1" x14ac:dyDescent="0.25">
      <c r="A98" s="42" t="s">
        <v>147</v>
      </c>
      <c r="B98" s="42" t="s">
        <v>1</v>
      </c>
      <c r="C98" s="43" t="s">
        <v>33</v>
      </c>
      <c r="D98" s="44" t="s">
        <v>148</v>
      </c>
      <c r="E98" s="42" t="s">
        <v>149</v>
      </c>
      <c r="F98" s="42" t="s">
        <v>150</v>
      </c>
      <c r="G98" s="42" t="s">
        <v>12</v>
      </c>
      <c r="H98" s="42">
        <v>3</v>
      </c>
      <c r="I98" s="42" t="s">
        <v>69</v>
      </c>
      <c r="J98" s="42" t="s">
        <v>13</v>
      </c>
      <c r="K98" s="42" t="s">
        <v>14</v>
      </c>
      <c r="L98" s="42" t="s">
        <v>10</v>
      </c>
      <c r="M98" s="45" t="s">
        <v>15</v>
      </c>
      <c r="N98" s="46" t="s">
        <v>155</v>
      </c>
      <c r="O98" s="47" t="s">
        <v>220</v>
      </c>
    </row>
    <row r="99" spans="1:15" s="36" customFormat="1" x14ac:dyDescent="0.25">
      <c r="A99" s="42" t="s">
        <v>147</v>
      </c>
      <c r="B99" s="42" t="s">
        <v>1</v>
      </c>
      <c r="C99" s="43" t="s">
        <v>33</v>
      </c>
      <c r="D99" s="44" t="s">
        <v>148</v>
      </c>
      <c r="E99" s="42" t="s">
        <v>149</v>
      </c>
      <c r="F99" s="42" t="s">
        <v>150</v>
      </c>
      <c r="G99" s="42" t="s">
        <v>12</v>
      </c>
      <c r="H99" s="42">
        <v>4</v>
      </c>
      <c r="I99" s="42" t="s">
        <v>69</v>
      </c>
      <c r="J99" s="42" t="s">
        <v>38</v>
      </c>
      <c r="K99" s="42" t="s">
        <v>39</v>
      </c>
      <c r="L99" s="42" t="s">
        <v>10</v>
      </c>
      <c r="M99" s="45" t="s">
        <v>15</v>
      </c>
      <c r="N99" s="46" t="s">
        <v>155</v>
      </c>
      <c r="O99" s="47" t="s">
        <v>220</v>
      </c>
    </row>
    <row r="100" spans="1:15" s="36" customFormat="1" x14ac:dyDescent="0.25">
      <c r="A100" s="42" t="s">
        <v>147</v>
      </c>
      <c r="B100" s="42" t="s">
        <v>1</v>
      </c>
      <c r="C100" s="43" t="s">
        <v>33</v>
      </c>
      <c r="D100" s="44" t="s">
        <v>148</v>
      </c>
      <c r="E100" s="42" t="s">
        <v>149</v>
      </c>
      <c r="F100" s="42" t="s">
        <v>150</v>
      </c>
      <c r="G100" s="42" t="s">
        <v>12</v>
      </c>
      <c r="H100" s="42">
        <v>5</v>
      </c>
      <c r="I100" s="42" t="s">
        <v>69</v>
      </c>
      <c r="J100" s="42" t="s">
        <v>156</v>
      </c>
      <c r="K100" s="42" t="s">
        <v>157</v>
      </c>
      <c r="L100" s="42" t="s">
        <v>10</v>
      </c>
      <c r="M100" s="45" t="s">
        <v>15</v>
      </c>
      <c r="N100" s="46" t="s">
        <v>158</v>
      </c>
      <c r="O100" s="47" t="s">
        <v>220</v>
      </c>
    </row>
    <row r="101" spans="1:15" s="36" customFormat="1" x14ac:dyDescent="0.25">
      <c r="A101" s="42" t="s">
        <v>147</v>
      </c>
      <c r="B101" s="42" t="s">
        <v>1</v>
      </c>
      <c r="C101" s="43" t="s">
        <v>33</v>
      </c>
      <c r="D101" s="44" t="s">
        <v>148</v>
      </c>
      <c r="E101" s="42" t="s">
        <v>149</v>
      </c>
      <c r="F101" s="42" t="s">
        <v>150</v>
      </c>
      <c r="G101" s="42" t="s">
        <v>16</v>
      </c>
      <c r="H101" s="42">
        <v>6</v>
      </c>
      <c r="I101" s="42" t="s">
        <v>17</v>
      </c>
      <c r="J101" s="42" t="s">
        <v>46</v>
      </c>
      <c r="K101" s="42" t="s">
        <v>47</v>
      </c>
      <c r="L101" s="42" t="s">
        <v>11</v>
      </c>
      <c r="M101" s="45" t="s">
        <v>45</v>
      </c>
      <c r="N101" s="46">
        <v>1000</v>
      </c>
      <c r="O101" s="47" t="s">
        <v>220</v>
      </c>
    </row>
    <row r="102" spans="1:15" s="36" customFormat="1" x14ac:dyDescent="0.25">
      <c r="A102" s="42" t="s">
        <v>147</v>
      </c>
      <c r="B102" s="42" t="s">
        <v>1</v>
      </c>
      <c r="C102" s="43" t="s">
        <v>33</v>
      </c>
      <c r="D102" s="44" t="s">
        <v>148</v>
      </c>
      <c r="E102" s="42" t="s">
        <v>149</v>
      </c>
      <c r="F102" s="42" t="s">
        <v>150</v>
      </c>
      <c r="G102" s="42" t="s">
        <v>16</v>
      </c>
      <c r="H102" s="42">
        <v>7</v>
      </c>
      <c r="I102" s="42" t="s">
        <v>17</v>
      </c>
      <c r="J102" s="42" t="s">
        <v>43</v>
      </c>
      <c r="K102" s="42" t="s">
        <v>44</v>
      </c>
      <c r="L102" s="42" t="s">
        <v>11</v>
      </c>
      <c r="M102" s="45" t="s">
        <v>45</v>
      </c>
      <c r="N102" s="46">
        <v>2100</v>
      </c>
      <c r="O102" s="47" t="s">
        <v>220</v>
      </c>
    </row>
    <row r="103" spans="1:15" s="36" customFormat="1" x14ac:dyDescent="0.25">
      <c r="A103" s="48" t="s">
        <v>147</v>
      </c>
      <c r="B103" s="48" t="s">
        <v>1</v>
      </c>
      <c r="C103" s="49" t="s">
        <v>33</v>
      </c>
      <c r="D103" s="50" t="s">
        <v>148</v>
      </c>
      <c r="E103" s="48" t="s">
        <v>149</v>
      </c>
      <c r="F103" s="48" t="s">
        <v>150</v>
      </c>
      <c r="G103" s="48" t="s">
        <v>16</v>
      </c>
      <c r="H103" s="48">
        <v>8</v>
      </c>
      <c r="I103" s="48" t="s">
        <v>17</v>
      </c>
      <c r="J103" s="48" t="s">
        <v>159</v>
      </c>
      <c r="K103" s="48" t="s">
        <v>160</v>
      </c>
      <c r="L103" s="48" t="s">
        <v>11</v>
      </c>
      <c r="M103" s="51" t="s">
        <v>45</v>
      </c>
      <c r="N103" s="52">
        <v>900</v>
      </c>
      <c r="O103" s="47" t="s">
        <v>221</v>
      </c>
    </row>
    <row r="104" spans="1:15" s="36" customFormat="1" x14ac:dyDescent="0.25">
      <c r="A104" s="48" t="s">
        <v>147</v>
      </c>
      <c r="B104" s="48" t="s">
        <v>1</v>
      </c>
      <c r="C104" s="49" t="s">
        <v>33</v>
      </c>
      <c r="D104" s="50" t="s">
        <v>148</v>
      </c>
      <c r="E104" s="48" t="s">
        <v>149</v>
      </c>
      <c r="F104" s="48" t="s">
        <v>150</v>
      </c>
      <c r="G104" s="48" t="s">
        <v>16</v>
      </c>
      <c r="H104" s="48">
        <v>9</v>
      </c>
      <c r="I104" s="48" t="s">
        <v>17</v>
      </c>
      <c r="J104" s="48" t="s">
        <v>161</v>
      </c>
      <c r="K104" s="48" t="s">
        <v>162</v>
      </c>
      <c r="L104" s="48" t="s">
        <v>11</v>
      </c>
      <c r="M104" s="51" t="s">
        <v>196</v>
      </c>
      <c r="N104" s="52">
        <v>20</v>
      </c>
      <c r="O104" s="47" t="s">
        <v>221</v>
      </c>
    </row>
    <row r="105" spans="1:15" s="36" customFormat="1" x14ac:dyDescent="0.25">
      <c r="A105" s="42" t="s">
        <v>147</v>
      </c>
      <c r="B105" s="42" t="s">
        <v>1</v>
      </c>
      <c r="C105" s="43" t="s">
        <v>33</v>
      </c>
      <c r="D105" s="44" t="s">
        <v>148</v>
      </c>
      <c r="E105" s="42" t="s">
        <v>149</v>
      </c>
      <c r="F105" s="42" t="s">
        <v>150</v>
      </c>
      <c r="G105" s="42" t="s">
        <v>50</v>
      </c>
      <c r="H105" s="42">
        <v>10</v>
      </c>
      <c r="I105" s="42" t="s">
        <v>51</v>
      </c>
      <c r="J105" s="42" t="s">
        <v>52</v>
      </c>
      <c r="K105" s="42" t="s">
        <v>53</v>
      </c>
      <c r="L105" s="42" t="s">
        <v>10</v>
      </c>
      <c r="M105" s="45" t="s">
        <v>15</v>
      </c>
      <c r="N105" s="46" t="s">
        <v>54</v>
      </c>
      <c r="O105" s="47" t="s">
        <v>220</v>
      </c>
    </row>
    <row r="106" spans="1:15" s="36" customFormat="1" x14ac:dyDescent="0.25">
      <c r="A106" s="42" t="s">
        <v>147</v>
      </c>
      <c r="B106" s="42" t="s">
        <v>1</v>
      </c>
      <c r="C106" s="43" t="s">
        <v>33</v>
      </c>
      <c r="D106" s="44" t="s">
        <v>148</v>
      </c>
      <c r="E106" s="42" t="s">
        <v>149</v>
      </c>
      <c r="F106" s="42" t="s">
        <v>150</v>
      </c>
      <c r="G106" s="42" t="s">
        <v>50</v>
      </c>
      <c r="H106" s="42">
        <v>11</v>
      </c>
      <c r="I106" s="42" t="s">
        <v>51</v>
      </c>
      <c r="J106" s="42" t="s">
        <v>55</v>
      </c>
      <c r="K106" s="42" t="s">
        <v>56</v>
      </c>
      <c r="L106" s="42" t="s">
        <v>10</v>
      </c>
      <c r="M106" s="45" t="s">
        <v>15</v>
      </c>
      <c r="N106" s="46" t="s">
        <v>57</v>
      </c>
      <c r="O106" s="47" t="s">
        <v>220</v>
      </c>
    </row>
    <row r="107" spans="1:15" x14ac:dyDescent="0.25">
      <c r="A107" s="11" t="s">
        <v>163</v>
      </c>
      <c r="B107" s="11" t="s">
        <v>1</v>
      </c>
      <c r="C107" s="12" t="s">
        <v>33</v>
      </c>
      <c r="D107" s="13" t="s">
        <v>164</v>
      </c>
      <c r="E107" s="11" t="s">
        <v>165</v>
      </c>
      <c r="F107" s="11" t="s">
        <v>166</v>
      </c>
      <c r="G107" s="11" t="s">
        <v>12</v>
      </c>
      <c r="H107" s="11">
        <v>1</v>
      </c>
      <c r="I107" s="11" t="s">
        <v>69</v>
      </c>
      <c r="J107" s="11" t="s">
        <v>34</v>
      </c>
      <c r="K107" s="11" t="s">
        <v>35</v>
      </c>
      <c r="L107" s="11" t="s">
        <v>10</v>
      </c>
      <c r="M107" s="15" t="s">
        <v>15</v>
      </c>
      <c r="N107" s="17" t="s">
        <v>167</v>
      </c>
      <c r="O107" s="35" t="s">
        <v>220</v>
      </c>
    </row>
    <row r="108" spans="1:15" x14ac:dyDescent="0.25">
      <c r="A108" s="11" t="s">
        <v>163</v>
      </c>
      <c r="B108" s="11" t="s">
        <v>1</v>
      </c>
      <c r="C108" s="12" t="s">
        <v>33</v>
      </c>
      <c r="D108" s="13" t="s">
        <v>164</v>
      </c>
      <c r="E108" s="11" t="s">
        <v>165</v>
      </c>
      <c r="F108" s="11" t="s">
        <v>166</v>
      </c>
      <c r="G108" s="11" t="s">
        <v>12</v>
      </c>
      <c r="H108" s="11">
        <v>2</v>
      </c>
      <c r="I108" s="11" t="s">
        <v>69</v>
      </c>
      <c r="J108" s="11" t="s">
        <v>152</v>
      </c>
      <c r="K108" s="11" t="s">
        <v>153</v>
      </c>
      <c r="L108" s="11" t="s">
        <v>10</v>
      </c>
      <c r="M108" s="15" t="s">
        <v>15</v>
      </c>
      <c r="N108" s="17" t="s">
        <v>154</v>
      </c>
      <c r="O108" s="35" t="s">
        <v>220</v>
      </c>
    </row>
    <row r="109" spans="1:15" x14ac:dyDescent="0.25">
      <c r="A109" s="11" t="s">
        <v>163</v>
      </c>
      <c r="B109" s="11" t="s">
        <v>1</v>
      </c>
      <c r="C109" s="12" t="s">
        <v>33</v>
      </c>
      <c r="D109" s="13" t="s">
        <v>164</v>
      </c>
      <c r="E109" s="11" t="s">
        <v>165</v>
      </c>
      <c r="F109" s="11" t="s">
        <v>166</v>
      </c>
      <c r="G109" s="11" t="s">
        <v>12</v>
      </c>
      <c r="H109" s="11">
        <v>3</v>
      </c>
      <c r="I109" s="11" t="s">
        <v>69</v>
      </c>
      <c r="J109" s="11" t="s">
        <v>13</v>
      </c>
      <c r="K109" s="11" t="s">
        <v>14</v>
      </c>
      <c r="L109" s="11" t="s">
        <v>10</v>
      </c>
      <c r="M109" s="15" t="s">
        <v>15</v>
      </c>
      <c r="N109" s="17" t="s">
        <v>168</v>
      </c>
      <c r="O109" s="35" t="s">
        <v>220</v>
      </c>
    </row>
    <row r="110" spans="1:15" x14ac:dyDescent="0.25">
      <c r="A110" s="11" t="s">
        <v>163</v>
      </c>
      <c r="B110" s="11" t="s">
        <v>1</v>
      </c>
      <c r="C110" s="12" t="s">
        <v>33</v>
      </c>
      <c r="D110" s="13" t="s">
        <v>164</v>
      </c>
      <c r="E110" s="11" t="s">
        <v>165</v>
      </c>
      <c r="F110" s="11" t="s">
        <v>166</v>
      </c>
      <c r="G110" s="11" t="s">
        <v>12</v>
      </c>
      <c r="H110" s="11">
        <v>4</v>
      </c>
      <c r="I110" s="11" t="s">
        <v>69</v>
      </c>
      <c r="J110" s="11" t="s">
        <v>38</v>
      </c>
      <c r="K110" s="11" t="s">
        <v>39</v>
      </c>
      <c r="L110" s="11" t="s">
        <v>10</v>
      </c>
      <c r="M110" s="15" t="s">
        <v>15</v>
      </c>
      <c r="N110" s="17" t="s">
        <v>169</v>
      </c>
      <c r="O110" s="35" t="s">
        <v>220</v>
      </c>
    </row>
    <row r="111" spans="1:15" x14ac:dyDescent="0.25">
      <c r="A111" s="11" t="s">
        <v>163</v>
      </c>
      <c r="B111" s="11" t="s">
        <v>1</v>
      </c>
      <c r="C111" s="12" t="s">
        <v>33</v>
      </c>
      <c r="D111" s="13" t="s">
        <v>164</v>
      </c>
      <c r="E111" s="11" t="s">
        <v>165</v>
      </c>
      <c r="F111" s="11" t="s">
        <v>166</v>
      </c>
      <c r="G111" s="11" t="s">
        <v>12</v>
      </c>
      <c r="H111" s="11">
        <v>5</v>
      </c>
      <c r="I111" s="11" t="s">
        <v>69</v>
      </c>
      <c r="J111" s="11" t="s">
        <v>156</v>
      </c>
      <c r="K111" s="11" t="s">
        <v>157</v>
      </c>
      <c r="L111" s="11" t="s">
        <v>10</v>
      </c>
      <c r="M111" s="15" t="s">
        <v>15</v>
      </c>
      <c r="N111" s="17" t="s">
        <v>158</v>
      </c>
      <c r="O111" s="35" t="s">
        <v>220</v>
      </c>
    </row>
    <row r="112" spans="1:15" x14ac:dyDescent="0.25">
      <c r="A112" s="11" t="s">
        <v>163</v>
      </c>
      <c r="B112" s="11" t="s">
        <v>1</v>
      </c>
      <c r="C112" s="12" t="s">
        <v>33</v>
      </c>
      <c r="D112" s="13" t="s">
        <v>164</v>
      </c>
      <c r="E112" s="11" t="s">
        <v>165</v>
      </c>
      <c r="F112" s="11" t="s">
        <v>166</v>
      </c>
      <c r="G112" s="11" t="s">
        <v>16</v>
      </c>
      <c r="H112" s="11">
        <v>6</v>
      </c>
      <c r="I112" s="11" t="s">
        <v>17</v>
      </c>
      <c r="J112" s="11" t="s">
        <v>46</v>
      </c>
      <c r="K112" s="11" t="s">
        <v>47</v>
      </c>
      <c r="L112" s="11" t="s">
        <v>11</v>
      </c>
      <c r="M112" s="15" t="s">
        <v>45</v>
      </c>
      <c r="N112" s="17">
        <v>1000</v>
      </c>
      <c r="O112" s="35" t="s">
        <v>220</v>
      </c>
    </row>
    <row r="113" spans="1:15" x14ac:dyDescent="0.25">
      <c r="A113" s="11" t="s">
        <v>163</v>
      </c>
      <c r="B113" s="11" t="s">
        <v>1</v>
      </c>
      <c r="C113" s="12" t="s">
        <v>33</v>
      </c>
      <c r="D113" s="13" t="s">
        <v>164</v>
      </c>
      <c r="E113" s="11" t="s">
        <v>165</v>
      </c>
      <c r="F113" s="11" t="s">
        <v>166</v>
      </c>
      <c r="G113" s="11" t="s">
        <v>16</v>
      </c>
      <c r="H113" s="11">
        <v>7</v>
      </c>
      <c r="I113" s="11" t="s">
        <v>17</v>
      </c>
      <c r="J113" s="11" t="s">
        <v>43</v>
      </c>
      <c r="K113" s="11" t="s">
        <v>44</v>
      </c>
      <c r="L113" s="11" t="s">
        <v>11</v>
      </c>
      <c r="M113" s="15" t="s">
        <v>45</v>
      </c>
      <c r="N113" s="17">
        <v>2100</v>
      </c>
      <c r="O113" s="35" t="s">
        <v>220</v>
      </c>
    </row>
    <row r="114" spans="1:15" x14ac:dyDescent="0.25">
      <c r="A114" s="11" t="s">
        <v>163</v>
      </c>
      <c r="B114" s="11" t="s">
        <v>1</v>
      </c>
      <c r="C114" s="12" t="s">
        <v>33</v>
      </c>
      <c r="D114" s="13" t="s">
        <v>164</v>
      </c>
      <c r="E114" s="11" t="s">
        <v>165</v>
      </c>
      <c r="F114" s="11" t="s">
        <v>166</v>
      </c>
      <c r="G114" s="11" t="s">
        <v>50</v>
      </c>
      <c r="H114" s="11">
        <v>8</v>
      </c>
      <c r="I114" s="11" t="s">
        <v>51</v>
      </c>
      <c r="J114" s="11" t="s">
        <v>52</v>
      </c>
      <c r="K114" s="11" t="s">
        <v>53</v>
      </c>
      <c r="L114" s="11" t="s">
        <v>10</v>
      </c>
      <c r="M114" s="15" t="s">
        <v>15</v>
      </c>
      <c r="N114" s="17" t="s">
        <v>54</v>
      </c>
      <c r="O114" s="35" t="s">
        <v>220</v>
      </c>
    </row>
    <row r="115" spans="1:15" x14ac:dyDescent="0.25">
      <c r="A115" s="11" t="s">
        <v>163</v>
      </c>
      <c r="B115" s="11" t="s">
        <v>1</v>
      </c>
      <c r="C115" s="12" t="s">
        <v>33</v>
      </c>
      <c r="D115" s="13" t="s">
        <v>164</v>
      </c>
      <c r="E115" s="11" t="s">
        <v>165</v>
      </c>
      <c r="F115" s="11" t="s">
        <v>166</v>
      </c>
      <c r="G115" s="11" t="s">
        <v>50</v>
      </c>
      <c r="H115" s="11">
        <v>9</v>
      </c>
      <c r="I115" s="11" t="s">
        <v>51</v>
      </c>
      <c r="J115" s="11" t="s">
        <v>55</v>
      </c>
      <c r="K115" s="11" t="s">
        <v>56</v>
      </c>
      <c r="L115" s="11" t="s">
        <v>10</v>
      </c>
      <c r="M115" s="15" t="s">
        <v>15</v>
      </c>
      <c r="N115" s="17" t="s">
        <v>57</v>
      </c>
      <c r="O115" s="35" t="s">
        <v>220</v>
      </c>
    </row>
    <row r="116" spans="1:15" x14ac:dyDescent="0.25">
      <c r="A116" s="6" t="s">
        <v>170</v>
      </c>
      <c r="B116" s="6" t="s">
        <v>1</v>
      </c>
      <c r="C116" s="7" t="s">
        <v>33</v>
      </c>
      <c r="D116" s="8" t="s">
        <v>172</v>
      </c>
      <c r="E116" s="6" t="s">
        <v>173</v>
      </c>
      <c r="F116" s="6" t="s">
        <v>171</v>
      </c>
      <c r="G116" s="6" t="s">
        <v>12</v>
      </c>
      <c r="H116" s="6">
        <v>1</v>
      </c>
      <c r="I116" s="6" t="s">
        <v>69</v>
      </c>
      <c r="J116" s="6" t="s">
        <v>34</v>
      </c>
      <c r="K116" s="6" t="s">
        <v>35</v>
      </c>
      <c r="L116" s="6" t="s">
        <v>10</v>
      </c>
      <c r="M116" s="9" t="s">
        <v>15</v>
      </c>
      <c r="N116" s="10" t="s">
        <v>174</v>
      </c>
      <c r="O116" s="29" t="s">
        <v>220</v>
      </c>
    </row>
    <row r="117" spans="1:15" x14ac:dyDescent="0.25">
      <c r="A117" s="6" t="s">
        <v>170</v>
      </c>
      <c r="B117" s="6" t="s">
        <v>1</v>
      </c>
      <c r="C117" s="7" t="s">
        <v>33</v>
      </c>
      <c r="D117" s="8" t="s">
        <v>172</v>
      </c>
      <c r="E117" s="6" t="s">
        <v>173</v>
      </c>
      <c r="F117" s="6" t="s">
        <v>171</v>
      </c>
      <c r="G117" s="6" t="s">
        <v>12</v>
      </c>
      <c r="H117" s="6">
        <v>2</v>
      </c>
      <c r="I117" s="6" t="s">
        <v>69</v>
      </c>
      <c r="J117" s="6" t="s">
        <v>152</v>
      </c>
      <c r="K117" s="6" t="s">
        <v>153</v>
      </c>
      <c r="L117" s="6" t="s">
        <v>10</v>
      </c>
      <c r="M117" s="9" t="s">
        <v>15</v>
      </c>
      <c r="N117" s="10" t="s">
        <v>175</v>
      </c>
      <c r="O117" s="29" t="s">
        <v>220</v>
      </c>
    </row>
    <row r="118" spans="1:15" x14ac:dyDescent="0.25">
      <c r="A118" s="6" t="s">
        <v>170</v>
      </c>
      <c r="B118" s="6" t="s">
        <v>1</v>
      </c>
      <c r="C118" s="7" t="s">
        <v>33</v>
      </c>
      <c r="D118" s="8" t="s">
        <v>172</v>
      </c>
      <c r="E118" s="6" t="s">
        <v>173</v>
      </c>
      <c r="F118" s="6" t="s">
        <v>171</v>
      </c>
      <c r="G118" s="6" t="s">
        <v>12</v>
      </c>
      <c r="H118" s="6">
        <v>3</v>
      </c>
      <c r="I118" s="6" t="s">
        <v>69</v>
      </c>
      <c r="J118" s="6" t="s">
        <v>13</v>
      </c>
      <c r="K118" s="6" t="s">
        <v>14</v>
      </c>
      <c r="L118" s="6" t="s">
        <v>10</v>
      </c>
      <c r="M118" s="9" t="s">
        <v>15</v>
      </c>
      <c r="N118" s="10" t="s">
        <v>176</v>
      </c>
      <c r="O118" s="29" t="s">
        <v>220</v>
      </c>
    </row>
    <row r="119" spans="1:15" x14ac:dyDescent="0.25">
      <c r="A119" s="6" t="s">
        <v>170</v>
      </c>
      <c r="B119" s="6" t="s">
        <v>1</v>
      </c>
      <c r="C119" s="7" t="s">
        <v>33</v>
      </c>
      <c r="D119" s="8" t="s">
        <v>172</v>
      </c>
      <c r="E119" s="6" t="s">
        <v>173</v>
      </c>
      <c r="F119" s="6" t="s">
        <v>171</v>
      </c>
      <c r="G119" s="6" t="s">
        <v>12</v>
      </c>
      <c r="H119" s="6">
        <v>4</v>
      </c>
      <c r="I119" s="6" t="s">
        <v>69</v>
      </c>
      <c r="J119" s="6" t="s">
        <v>156</v>
      </c>
      <c r="K119" s="6" t="s">
        <v>157</v>
      </c>
      <c r="L119" s="6" t="s">
        <v>10</v>
      </c>
      <c r="M119" s="9" t="s">
        <v>15</v>
      </c>
      <c r="N119" s="10" t="s">
        <v>177</v>
      </c>
      <c r="O119" s="29" t="s">
        <v>220</v>
      </c>
    </row>
    <row r="120" spans="1:15" x14ac:dyDescent="0.25">
      <c r="A120" s="6" t="s">
        <v>170</v>
      </c>
      <c r="B120" s="6" t="s">
        <v>1</v>
      </c>
      <c r="C120" s="7" t="s">
        <v>33</v>
      </c>
      <c r="D120" s="8" t="s">
        <v>172</v>
      </c>
      <c r="E120" s="6" t="s">
        <v>173</v>
      </c>
      <c r="F120" s="6" t="s">
        <v>171</v>
      </c>
      <c r="G120" s="6" t="s">
        <v>12</v>
      </c>
      <c r="H120" s="6">
        <v>5</v>
      </c>
      <c r="I120" s="6" t="s">
        <v>69</v>
      </c>
      <c r="J120" s="6" t="s">
        <v>38</v>
      </c>
      <c r="K120" s="6" t="s">
        <v>39</v>
      </c>
      <c r="L120" s="6" t="s">
        <v>10</v>
      </c>
      <c r="M120" s="9" t="s">
        <v>15</v>
      </c>
      <c r="N120" s="10" t="s">
        <v>178</v>
      </c>
      <c r="O120" s="29" t="s">
        <v>220</v>
      </c>
    </row>
    <row r="121" spans="1:15" x14ac:dyDescent="0.25">
      <c r="A121" s="30" t="s">
        <v>170</v>
      </c>
      <c r="B121" s="30" t="s">
        <v>1</v>
      </c>
      <c r="C121" s="31" t="s">
        <v>33</v>
      </c>
      <c r="D121" s="32" t="s">
        <v>172</v>
      </c>
      <c r="E121" s="30" t="s">
        <v>173</v>
      </c>
      <c r="F121" s="30" t="s">
        <v>171</v>
      </c>
      <c r="G121" s="30" t="s">
        <v>16</v>
      </c>
      <c r="H121" s="30">
        <v>6</v>
      </c>
      <c r="I121" s="30" t="s">
        <v>17</v>
      </c>
      <c r="J121" s="30" t="s">
        <v>46</v>
      </c>
      <c r="K121" s="30" t="s">
        <v>47</v>
      </c>
      <c r="L121" s="30" t="s">
        <v>11</v>
      </c>
      <c r="M121" s="33" t="s">
        <v>45</v>
      </c>
      <c r="N121" s="34">
        <v>70</v>
      </c>
      <c r="O121" s="29" t="s">
        <v>221</v>
      </c>
    </row>
    <row r="122" spans="1:15" x14ac:dyDescent="0.25">
      <c r="A122" s="6" t="s">
        <v>170</v>
      </c>
      <c r="B122" s="6" t="s">
        <v>1</v>
      </c>
      <c r="C122" s="7" t="s">
        <v>33</v>
      </c>
      <c r="D122" s="8" t="s">
        <v>172</v>
      </c>
      <c r="E122" s="6" t="s">
        <v>173</v>
      </c>
      <c r="F122" s="6" t="s">
        <v>171</v>
      </c>
      <c r="G122" s="6" t="s">
        <v>16</v>
      </c>
      <c r="H122" s="6">
        <v>7</v>
      </c>
      <c r="I122" s="6" t="s">
        <v>17</v>
      </c>
      <c r="J122" s="6" t="s">
        <v>114</v>
      </c>
      <c r="K122" s="6" t="s">
        <v>115</v>
      </c>
      <c r="L122" s="6" t="s">
        <v>11</v>
      </c>
      <c r="M122" s="9" t="s">
        <v>45</v>
      </c>
      <c r="N122" s="10">
        <v>150</v>
      </c>
      <c r="O122" s="29" t="s">
        <v>220</v>
      </c>
    </row>
    <row r="123" spans="1:15" x14ac:dyDescent="0.25">
      <c r="A123" s="30" t="s">
        <v>170</v>
      </c>
      <c r="B123" s="30" t="s">
        <v>1</v>
      </c>
      <c r="C123" s="31" t="s">
        <v>33</v>
      </c>
      <c r="D123" s="32" t="s">
        <v>172</v>
      </c>
      <c r="E123" s="30" t="s">
        <v>173</v>
      </c>
      <c r="F123" s="30" t="s">
        <v>171</v>
      </c>
      <c r="G123" s="30" t="s">
        <v>16</v>
      </c>
      <c r="H123" s="30">
        <v>8</v>
      </c>
      <c r="I123" s="30" t="s">
        <v>17</v>
      </c>
      <c r="J123" s="30" t="s">
        <v>43</v>
      </c>
      <c r="K123" s="30" t="s">
        <v>44</v>
      </c>
      <c r="L123" s="30" t="s">
        <v>11</v>
      </c>
      <c r="M123" s="33" t="s">
        <v>45</v>
      </c>
      <c r="N123" s="34">
        <v>2700</v>
      </c>
      <c r="O123" s="29" t="s">
        <v>221</v>
      </c>
    </row>
    <row r="124" spans="1:15" x14ac:dyDescent="0.25">
      <c r="A124" s="30" t="s">
        <v>170</v>
      </c>
      <c r="B124" s="30" t="s">
        <v>1</v>
      </c>
      <c r="C124" s="31" t="s">
        <v>33</v>
      </c>
      <c r="D124" s="32" t="s">
        <v>172</v>
      </c>
      <c r="E124" s="30" t="s">
        <v>173</v>
      </c>
      <c r="F124" s="30" t="s">
        <v>171</v>
      </c>
      <c r="G124" s="30" t="s">
        <v>16</v>
      </c>
      <c r="H124" s="30">
        <v>9</v>
      </c>
      <c r="I124" s="30" t="s">
        <v>17</v>
      </c>
      <c r="J124" s="30" t="s">
        <v>18</v>
      </c>
      <c r="K124" s="30" t="s">
        <v>19</v>
      </c>
      <c r="L124" s="30" t="s">
        <v>11</v>
      </c>
      <c r="M124" s="33" t="s">
        <v>196</v>
      </c>
      <c r="N124" s="34">
        <v>7.02</v>
      </c>
      <c r="O124" s="29" t="s">
        <v>221</v>
      </c>
    </row>
    <row r="125" spans="1:15" x14ac:dyDescent="0.25">
      <c r="A125" s="6" t="s">
        <v>170</v>
      </c>
      <c r="B125" s="6" t="s">
        <v>1</v>
      </c>
      <c r="C125" s="7" t="s">
        <v>33</v>
      </c>
      <c r="D125" s="8" t="s">
        <v>172</v>
      </c>
      <c r="E125" s="6" t="s">
        <v>173</v>
      </c>
      <c r="F125" s="6" t="s">
        <v>171</v>
      </c>
      <c r="G125" s="6" t="s">
        <v>50</v>
      </c>
      <c r="H125" s="6">
        <v>10</v>
      </c>
      <c r="I125" s="6" t="s">
        <v>51</v>
      </c>
      <c r="J125" s="6" t="s">
        <v>52</v>
      </c>
      <c r="K125" s="6" t="s">
        <v>53</v>
      </c>
      <c r="L125" s="6" t="s">
        <v>10</v>
      </c>
      <c r="M125" s="9" t="s">
        <v>15</v>
      </c>
      <c r="N125" s="10" t="s">
        <v>54</v>
      </c>
      <c r="O125" s="29" t="s">
        <v>220</v>
      </c>
    </row>
    <row r="126" spans="1:15" x14ac:dyDescent="0.25">
      <c r="A126" s="6" t="s">
        <v>170</v>
      </c>
      <c r="B126" s="6" t="s">
        <v>1</v>
      </c>
      <c r="C126" s="7" t="s">
        <v>33</v>
      </c>
      <c r="D126" s="8" t="s">
        <v>172</v>
      </c>
      <c r="E126" s="6" t="s">
        <v>173</v>
      </c>
      <c r="F126" s="6" t="s">
        <v>171</v>
      </c>
      <c r="G126" s="6" t="s">
        <v>50</v>
      </c>
      <c r="H126" s="6">
        <v>11</v>
      </c>
      <c r="I126" s="6" t="s">
        <v>51</v>
      </c>
      <c r="J126" s="6" t="s">
        <v>55</v>
      </c>
      <c r="K126" s="6" t="s">
        <v>56</v>
      </c>
      <c r="L126" s="6" t="s">
        <v>10</v>
      </c>
      <c r="M126" s="9" t="s">
        <v>15</v>
      </c>
      <c r="N126" s="10" t="s">
        <v>57</v>
      </c>
      <c r="O126" s="29" t="s">
        <v>220</v>
      </c>
    </row>
    <row r="127" spans="1:15" x14ac:dyDescent="0.25">
      <c r="A127" s="11" t="s">
        <v>179</v>
      </c>
      <c r="B127" s="11" t="s">
        <v>1</v>
      </c>
      <c r="C127" s="12" t="s">
        <v>33</v>
      </c>
      <c r="D127" s="13" t="s">
        <v>180</v>
      </c>
      <c r="E127" s="11" t="s">
        <v>181</v>
      </c>
      <c r="F127" s="11" t="s">
        <v>182</v>
      </c>
      <c r="G127" s="11" t="s">
        <v>12</v>
      </c>
      <c r="H127" s="11">
        <v>1</v>
      </c>
      <c r="I127" s="11" t="s">
        <v>69</v>
      </c>
      <c r="J127" s="11" t="s">
        <v>34</v>
      </c>
      <c r="K127" s="11" t="s">
        <v>35</v>
      </c>
      <c r="L127" s="11" t="s">
        <v>10</v>
      </c>
      <c r="M127" s="15" t="s">
        <v>15</v>
      </c>
      <c r="N127" s="17" t="s">
        <v>183</v>
      </c>
      <c r="O127" s="35" t="s">
        <v>220</v>
      </c>
    </row>
    <row r="128" spans="1:15" x14ac:dyDescent="0.25">
      <c r="A128" s="11" t="s">
        <v>179</v>
      </c>
      <c r="B128" s="11" t="s">
        <v>1</v>
      </c>
      <c r="C128" s="12" t="s">
        <v>33</v>
      </c>
      <c r="D128" s="13" t="s">
        <v>180</v>
      </c>
      <c r="E128" s="11" t="s">
        <v>181</v>
      </c>
      <c r="F128" s="11" t="s">
        <v>182</v>
      </c>
      <c r="G128" s="11" t="s">
        <v>12</v>
      </c>
      <c r="H128" s="11">
        <v>2</v>
      </c>
      <c r="I128" s="11" t="s">
        <v>69</v>
      </c>
      <c r="J128" s="11" t="s">
        <v>152</v>
      </c>
      <c r="K128" s="11" t="s">
        <v>153</v>
      </c>
      <c r="L128" s="11" t="s">
        <v>10</v>
      </c>
      <c r="M128" s="15" t="s">
        <v>15</v>
      </c>
      <c r="N128" s="17" t="s">
        <v>184</v>
      </c>
      <c r="O128" s="35" t="s">
        <v>220</v>
      </c>
    </row>
    <row r="129" spans="1:15" x14ac:dyDescent="0.25">
      <c r="A129" s="11" t="s">
        <v>179</v>
      </c>
      <c r="B129" s="11" t="s">
        <v>1</v>
      </c>
      <c r="C129" s="12" t="s">
        <v>33</v>
      </c>
      <c r="D129" s="13" t="s">
        <v>180</v>
      </c>
      <c r="E129" s="11" t="s">
        <v>181</v>
      </c>
      <c r="F129" s="11" t="s">
        <v>182</v>
      </c>
      <c r="G129" s="11" t="s">
        <v>12</v>
      </c>
      <c r="H129" s="11">
        <v>3</v>
      </c>
      <c r="I129" s="11" t="s">
        <v>69</v>
      </c>
      <c r="J129" s="11" t="s">
        <v>13</v>
      </c>
      <c r="K129" s="11" t="s">
        <v>14</v>
      </c>
      <c r="L129" s="11" t="s">
        <v>10</v>
      </c>
      <c r="M129" s="15" t="s">
        <v>15</v>
      </c>
      <c r="N129" s="17" t="s">
        <v>185</v>
      </c>
      <c r="O129" s="35" t="s">
        <v>220</v>
      </c>
    </row>
    <row r="130" spans="1:15" x14ac:dyDescent="0.25">
      <c r="A130" s="11" t="s">
        <v>179</v>
      </c>
      <c r="B130" s="11" t="s">
        <v>1</v>
      </c>
      <c r="C130" s="12" t="s">
        <v>33</v>
      </c>
      <c r="D130" s="13" t="s">
        <v>180</v>
      </c>
      <c r="E130" s="11" t="s">
        <v>181</v>
      </c>
      <c r="F130" s="11" t="s">
        <v>182</v>
      </c>
      <c r="G130" s="11" t="s">
        <v>12</v>
      </c>
      <c r="H130" s="11">
        <v>4</v>
      </c>
      <c r="I130" s="11" t="s">
        <v>69</v>
      </c>
      <c r="J130" s="11" t="s">
        <v>156</v>
      </c>
      <c r="K130" s="11" t="s">
        <v>157</v>
      </c>
      <c r="L130" s="11" t="s">
        <v>10</v>
      </c>
      <c r="M130" s="15" t="s">
        <v>15</v>
      </c>
      <c r="N130" s="17" t="s">
        <v>186</v>
      </c>
      <c r="O130" s="35" t="s">
        <v>220</v>
      </c>
    </row>
    <row r="131" spans="1:15" x14ac:dyDescent="0.25">
      <c r="A131" s="24" t="s">
        <v>179</v>
      </c>
      <c r="B131" s="24" t="s">
        <v>1</v>
      </c>
      <c r="C131" s="25" t="s">
        <v>33</v>
      </c>
      <c r="D131" s="26" t="s">
        <v>180</v>
      </c>
      <c r="E131" s="24" t="s">
        <v>181</v>
      </c>
      <c r="F131" s="24" t="s">
        <v>182</v>
      </c>
      <c r="G131" s="24" t="s">
        <v>16</v>
      </c>
      <c r="H131" s="24">
        <v>5</v>
      </c>
      <c r="I131" s="24" t="s">
        <v>17</v>
      </c>
      <c r="J131" s="24" t="s">
        <v>48</v>
      </c>
      <c r="K131" s="24" t="s">
        <v>49</v>
      </c>
      <c r="L131" s="24" t="s">
        <v>11</v>
      </c>
      <c r="M131" s="27" t="s">
        <v>45</v>
      </c>
      <c r="N131" s="28">
        <v>1000</v>
      </c>
      <c r="O131" s="35" t="s">
        <v>221</v>
      </c>
    </row>
    <row r="132" spans="1:15" x14ac:dyDescent="0.25">
      <c r="A132" s="24" t="s">
        <v>179</v>
      </c>
      <c r="B132" s="24" t="s">
        <v>1</v>
      </c>
      <c r="C132" s="25" t="s">
        <v>33</v>
      </c>
      <c r="D132" s="26" t="s">
        <v>180</v>
      </c>
      <c r="E132" s="24" t="s">
        <v>181</v>
      </c>
      <c r="F132" s="24" t="s">
        <v>182</v>
      </c>
      <c r="G132" s="24" t="s">
        <v>16</v>
      </c>
      <c r="H132" s="24">
        <v>6</v>
      </c>
      <c r="I132" s="24" t="s">
        <v>17</v>
      </c>
      <c r="J132" s="24" t="s">
        <v>187</v>
      </c>
      <c r="K132" s="24" t="s">
        <v>188</v>
      </c>
      <c r="L132" s="24" t="s">
        <v>11</v>
      </c>
      <c r="M132" s="27" t="s">
        <v>189</v>
      </c>
      <c r="N132" s="28">
        <v>5</v>
      </c>
      <c r="O132" s="35" t="s">
        <v>221</v>
      </c>
    </row>
    <row r="133" spans="1:15" x14ac:dyDescent="0.25">
      <c r="A133" s="11" t="s">
        <v>179</v>
      </c>
      <c r="B133" s="11" t="s">
        <v>1</v>
      </c>
      <c r="C133" s="12" t="s">
        <v>33</v>
      </c>
      <c r="D133" s="13" t="s">
        <v>180</v>
      </c>
      <c r="E133" s="11" t="s">
        <v>181</v>
      </c>
      <c r="F133" s="11" t="s">
        <v>182</v>
      </c>
      <c r="G133" s="11" t="s">
        <v>50</v>
      </c>
      <c r="H133" s="11">
        <v>7</v>
      </c>
      <c r="I133" s="11" t="s">
        <v>51</v>
      </c>
      <c r="J133" s="11" t="s">
        <v>52</v>
      </c>
      <c r="K133" s="11" t="s">
        <v>53</v>
      </c>
      <c r="L133" s="11" t="s">
        <v>10</v>
      </c>
      <c r="M133" s="15" t="s">
        <v>15</v>
      </c>
      <c r="N133" s="17" t="s">
        <v>54</v>
      </c>
      <c r="O133" s="35" t="s">
        <v>220</v>
      </c>
    </row>
    <row r="134" spans="1:15" x14ac:dyDescent="0.25">
      <c r="A134" s="11" t="s">
        <v>179</v>
      </c>
      <c r="B134" s="11" t="s">
        <v>1</v>
      </c>
      <c r="C134" s="12" t="s">
        <v>33</v>
      </c>
      <c r="D134" s="13" t="s">
        <v>180</v>
      </c>
      <c r="E134" s="11" t="s">
        <v>181</v>
      </c>
      <c r="F134" s="11" t="s">
        <v>182</v>
      </c>
      <c r="G134" s="11" t="s">
        <v>50</v>
      </c>
      <c r="H134" s="11">
        <v>8</v>
      </c>
      <c r="I134" s="11" t="s">
        <v>51</v>
      </c>
      <c r="J134" s="11" t="s">
        <v>55</v>
      </c>
      <c r="K134" s="11" t="s">
        <v>56</v>
      </c>
      <c r="L134" s="11" t="s">
        <v>10</v>
      </c>
      <c r="M134" s="15" t="s">
        <v>15</v>
      </c>
      <c r="N134" s="17" t="s">
        <v>57</v>
      </c>
      <c r="O134" s="35" t="s">
        <v>220</v>
      </c>
    </row>
    <row r="135" spans="1:15" x14ac:dyDescent="0.25">
      <c r="A135" s="6" t="s">
        <v>190</v>
      </c>
      <c r="B135" s="6" t="s">
        <v>1</v>
      </c>
      <c r="C135" s="7" t="s">
        <v>33</v>
      </c>
      <c r="D135" s="8" t="s">
        <v>191</v>
      </c>
      <c r="E135" s="6" t="s">
        <v>192</v>
      </c>
      <c r="F135" s="6"/>
      <c r="G135" s="6" t="s">
        <v>12</v>
      </c>
      <c r="H135" s="6">
        <v>1</v>
      </c>
      <c r="I135" s="6" t="s">
        <v>69</v>
      </c>
      <c r="J135" s="6" t="s">
        <v>34</v>
      </c>
      <c r="K135" s="6" t="s">
        <v>35</v>
      </c>
      <c r="L135" s="6" t="s">
        <v>10</v>
      </c>
      <c r="M135" s="9" t="s">
        <v>15</v>
      </c>
      <c r="N135" s="10" t="s">
        <v>193</v>
      </c>
      <c r="O135" s="29" t="s">
        <v>220</v>
      </c>
    </row>
    <row r="136" spans="1:15" x14ac:dyDescent="0.25">
      <c r="A136" s="6" t="s">
        <v>190</v>
      </c>
      <c r="B136" s="6" t="s">
        <v>1</v>
      </c>
      <c r="C136" s="7" t="s">
        <v>33</v>
      </c>
      <c r="D136" s="8" t="s">
        <v>191</v>
      </c>
      <c r="E136" s="6" t="s">
        <v>192</v>
      </c>
      <c r="F136" s="6"/>
      <c r="G136" s="6" t="s">
        <v>12</v>
      </c>
      <c r="H136" s="6">
        <v>2</v>
      </c>
      <c r="I136" s="6" t="s">
        <v>69</v>
      </c>
      <c r="J136" s="6" t="s">
        <v>152</v>
      </c>
      <c r="K136" s="6" t="s">
        <v>153</v>
      </c>
      <c r="L136" s="6" t="s">
        <v>10</v>
      </c>
      <c r="M136" s="9" t="s">
        <v>15</v>
      </c>
      <c r="N136" s="10" t="s">
        <v>184</v>
      </c>
      <c r="O136" s="29" t="s">
        <v>220</v>
      </c>
    </row>
    <row r="137" spans="1:15" x14ac:dyDescent="0.25">
      <c r="A137" s="6" t="s">
        <v>190</v>
      </c>
      <c r="B137" s="6" t="s">
        <v>1</v>
      </c>
      <c r="C137" s="7" t="s">
        <v>33</v>
      </c>
      <c r="D137" s="8" t="s">
        <v>191</v>
      </c>
      <c r="E137" s="6" t="s">
        <v>192</v>
      </c>
      <c r="F137" s="6"/>
      <c r="G137" s="6" t="s">
        <v>12</v>
      </c>
      <c r="H137" s="6">
        <v>3</v>
      </c>
      <c r="I137" s="6" t="s">
        <v>69</v>
      </c>
      <c r="J137" s="6" t="s">
        <v>13</v>
      </c>
      <c r="K137" s="6" t="s">
        <v>14</v>
      </c>
      <c r="L137" s="6" t="s">
        <v>10</v>
      </c>
      <c r="M137" s="9" t="s">
        <v>15</v>
      </c>
      <c r="N137" s="10" t="s">
        <v>194</v>
      </c>
      <c r="O137" s="29" t="s">
        <v>220</v>
      </c>
    </row>
    <row r="138" spans="1:15" x14ac:dyDescent="0.25">
      <c r="A138" s="6" t="s">
        <v>190</v>
      </c>
      <c r="B138" s="6" t="s">
        <v>1</v>
      </c>
      <c r="C138" s="7" t="s">
        <v>33</v>
      </c>
      <c r="D138" s="8" t="s">
        <v>191</v>
      </c>
      <c r="E138" s="6" t="s">
        <v>192</v>
      </c>
      <c r="F138" s="6"/>
      <c r="G138" s="6" t="s">
        <v>12</v>
      </c>
      <c r="H138" s="6">
        <v>4</v>
      </c>
      <c r="I138" s="6" t="s">
        <v>69</v>
      </c>
      <c r="J138" s="6" t="s">
        <v>156</v>
      </c>
      <c r="K138" s="6" t="s">
        <v>157</v>
      </c>
      <c r="L138" s="6" t="s">
        <v>10</v>
      </c>
      <c r="M138" s="9" t="s">
        <v>15</v>
      </c>
      <c r="N138" s="10" t="s">
        <v>186</v>
      </c>
      <c r="O138" s="29" t="s">
        <v>220</v>
      </c>
    </row>
    <row r="139" spans="1:15" x14ac:dyDescent="0.25">
      <c r="A139" s="6" t="s">
        <v>190</v>
      </c>
      <c r="B139" s="6" t="s">
        <v>1</v>
      </c>
      <c r="C139" s="7" t="s">
        <v>33</v>
      </c>
      <c r="D139" s="8" t="s">
        <v>191</v>
      </c>
      <c r="E139" s="6" t="s">
        <v>192</v>
      </c>
      <c r="F139" s="6"/>
      <c r="G139" s="6" t="s">
        <v>12</v>
      </c>
      <c r="H139" s="6">
        <v>5</v>
      </c>
      <c r="I139" s="6" t="s">
        <v>69</v>
      </c>
      <c r="J139" s="6" t="s">
        <v>38</v>
      </c>
      <c r="K139" s="6" t="s">
        <v>39</v>
      </c>
      <c r="L139" s="6" t="s">
        <v>10</v>
      </c>
      <c r="M139" s="9" t="s">
        <v>15</v>
      </c>
      <c r="N139" s="10" t="s">
        <v>195</v>
      </c>
      <c r="O139" s="29" t="s">
        <v>220</v>
      </c>
    </row>
    <row r="140" spans="1:15" x14ac:dyDescent="0.25">
      <c r="A140" s="30" t="s">
        <v>190</v>
      </c>
      <c r="B140" s="30" t="s">
        <v>1</v>
      </c>
      <c r="C140" s="31" t="s">
        <v>33</v>
      </c>
      <c r="D140" s="32" t="s">
        <v>191</v>
      </c>
      <c r="E140" s="30" t="s">
        <v>192</v>
      </c>
      <c r="F140" s="30"/>
      <c r="G140" s="30" t="s">
        <v>16</v>
      </c>
      <c r="H140" s="30">
        <v>6</v>
      </c>
      <c r="I140" s="30" t="s">
        <v>17</v>
      </c>
      <c r="J140" s="30" t="s">
        <v>46</v>
      </c>
      <c r="K140" s="30" t="s">
        <v>47</v>
      </c>
      <c r="L140" s="30" t="s">
        <v>11</v>
      </c>
      <c r="M140" s="33" t="s">
        <v>45</v>
      </c>
      <c r="N140" s="34">
        <v>70</v>
      </c>
      <c r="O140" s="29" t="s">
        <v>221</v>
      </c>
    </row>
    <row r="141" spans="1:15" x14ac:dyDescent="0.25">
      <c r="A141" s="30" t="s">
        <v>190</v>
      </c>
      <c r="B141" s="30" t="s">
        <v>1</v>
      </c>
      <c r="C141" s="31" t="s">
        <v>33</v>
      </c>
      <c r="D141" s="32" t="s">
        <v>191</v>
      </c>
      <c r="E141" s="30" t="s">
        <v>192</v>
      </c>
      <c r="F141" s="30"/>
      <c r="G141" s="30" t="s">
        <v>16</v>
      </c>
      <c r="H141" s="30">
        <v>7</v>
      </c>
      <c r="I141" s="30" t="s">
        <v>17</v>
      </c>
      <c r="J141" s="30" t="s">
        <v>114</v>
      </c>
      <c r="K141" s="30" t="s">
        <v>115</v>
      </c>
      <c r="L141" s="30" t="s">
        <v>11</v>
      </c>
      <c r="M141" s="33" t="s">
        <v>45</v>
      </c>
      <c r="N141" s="34">
        <v>150</v>
      </c>
      <c r="O141" s="29" t="s">
        <v>221</v>
      </c>
    </row>
    <row r="142" spans="1:15" x14ac:dyDescent="0.25">
      <c r="A142" s="30" t="s">
        <v>190</v>
      </c>
      <c r="B142" s="30" t="s">
        <v>1</v>
      </c>
      <c r="C142" s="31" t="s">
        <v>33</v>
      </c>
      <c r="D142" s="32" t="s">
        <v>191</v>
      </c>
      <c r="E142" s="30" t="s">
        <v>192</v>
      </c>
      <c r="F142" s="30"/>
      <c r="G142" s="30" t="s">
        <v>16</v>
      </c>
      <c r="H142" s="30">
        <v>8</v>
      </c>
      <c r="I142" s="30" t="s">
        <v>17</v>
      </c>
      <c r="J142" s="30" t="s">
        <v>43</v>
      </c>
      <c r="K142" s="30" t="s">
        <v>44</v>
      </c>
      <c r="L142" s="30" t="s">
        <v>11</v>
      </c>
      <c r="M142" s="33" t="s">
        <v>45</v>
      </c>
      <c r="N142" s="34">
        <v>2700</v>
      </c>
      <c r="O142" s="29" t="s">
        <v>221</v>
      </c>
    </row>
    <row r="143" spans="1:15" x14ac:dyDescent="0.25">
      <c r="A143" s="30" t="s">
        <v>190</v>
      </c>
      <c r="B143" s="30" t="s">
        <v>1</v>
      </c>
      <c r="C143" s="31" t="s">
        <v>33</v>
      </c>
      <c r="D143" s="32" t="s">
        <v>191</v>
      </c>
      <c r="E143" s="30" t="s">
        <v>192</v>
      </c>
      <c r="F143" s="30"/>
      <c r="G143" s="30" t="s">
        <v>16</v>
      </c>
      <c r="H143" s="30">
        <v>9</v>
      </c>
      <c r="I143" s="30" t="s">
        <v>17</v>
      </c>
      <c r="J143" s="30" t="s">
        <v>18</v>
      </c>
      <c r="K143" s="30" t="s">
        <v>19</v>
      </c>
      <c r="L143" s="30" t="s">
        <v>11</v>
      </c>
      <c r="M143" s="33" t="s">
        <v>196</v>
      </c>
      <c r="N143" s="34">
        <v>7.02</v>
      </c>
      <c r="O143" s="29" t="s">
        <v>221</v>
      </c>
    </row>
    <row r="144" spans="1:15" x14ac:dyDescent="0.25">
      <c r="A144" s="6" t="s">
        <v>190</v>
      </c>
      <c r="B144" s="6" t="s">
        <v>1</v>
      </c>
      <c r="C144" s="7" t="s">
        <v>33</v>
      </c>
      <c r="D144" s="8" t="s">
        <v>191</v>
      </c>
      <c r="E144" s="6" t="s">
        <v>192</v>
      </c>
      <c r="F144" s="6"/>
      <c r="G144" s="6" t="s">
        <v>50</v>
      </c>
      <c r="H144" s="6">
        <v>10</v>
      </c>
      <c r="I144" s="6" t="s">
        <v>51</v>
      </c>
      <c r="J144" s="6" t="s">
        <v>52</v>
      </c>
      <c r="K144" s="6" t="s">
        <v>53</v>
      </c>
      <c r="L144" s="6" t="s">
        <v>10</v>
      </c>
      <c r="M144" s="9" t="s">
        <v>15</v>
      </c>
      <c r="N144" s="10" t="s">
        <v>54</v>
      </c>
      <c r="O144" s="29" t="s">
        <v>220</v>
      </c>
    </row>
    <row r="145" spans="1:15" x14ac:dyDescent="0.25">
      <c r="A145" s="6" t="s">
        <v>190</v>
      </c>
      <c r="B145" s="6" t="s">
        <v>1</v>
      </c>
      <c r="C145" s="7" t="s">
        <v>33</v>
      </c>
      <c r="D145" s="8" t="s">
        <v>191</v>
      </c>
      <c r="E145" s="6" t="s">
        <v>192</v>
      </c>
      <c r="F145" s="6"/>
      <c r="G145" s="6" t="s">
        <v>50</v>
      </c>
      <c r="H145" s="6">
        <v>11</v>
      </c>
      <c r="I145" s="6" t="s">
        <v>51</v>
      </c>
      <c r="J145" s="6" t="s">
        <v>55</v>
      </c>
      <c r="K145" s="6" t="s">
        <v>56</v>
      </c>
      <c r="L145" s="6" t="s">
        <v>10</v>
      </c>
      <c r="M145" s="9" t="s">
        <v>15</v>
      </c>
      <c r="N145" s="10" t="s">
        <v>57</v>
      </c>
      <c r="O145" s="29" t="s">
        <v>220</v>
      </c>
    </row>
  </sheetData>
  <autoFilter ref="A1:O145" xr:uid="{51BB03C4-243F-4684-B30C-F76B08F2D109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CAC1-1AD2-46FE-8559-03159D616912}">
  <dimension ref="A1:G162"/>
  <sheetViews>
    <sheetView topLeftCell="B37" zoomScaleNormal="100" workbookViewId="0">
      <selection activeCell="E57" sqref="E57"/>
      <pivotSelection pane="bottomRight" showHeader="1" axis="axisRow" dimension="4" activeRow="56" activeCol="4" previousRow="56" previousCol="4" click="1" r:id="rId1">
        <pivotArea dataOnly="0" labelOnly="1" outline="0" fieldPosition="0">
          <references count="1">
            <reference field="9" count="0"/>
          </references>
        </pivotArea>
      </pivotSelection>
    </sheetView>
  </sheetViews>
  <sheetFormatPr defaultRowHeight="15" x14ac:dyDescent="0.25"/>
  <cols>
    <col min="1" max="1" width="24.7109375" customWidth="1"/>
    <col min="2" max="2" width="28.5703125" customWidth="1"/>
    <col min="3" max="3" width="39.85546875" customWidth="1"/>
    <col min="4" max="4" width="42.140625" customWidth="1"/>
    <col min="5" max="5" width="36.42578125" style="22" customWidth="1"/>
    <col min="6" max="6" width="20.42578125" customWidth="1"/>
    <col min="7" max="7" width="32.42578125" customWidth="1"/>
    <col min="8" max="8" width="6.5703125" bestFit="1" customWidth="1"/>
    <col min="9" max="9" width="15" bestFit="1" customWidth="1"/>
    <col min="10" max="10" width="31.7109375" bestFit="1" customWidth="1"/>
    <col min="11" max="11" width="32.140625" bestFit="1" customWidth="1"/>
    <col min="12" max="12" width="39.85546875" bestFit="1" customWidth="1"/>
    <col min="13" max="13" width="23.140625" bestFit="1" customWidth="1"/>
    <col min="14" max="14" width="30.7109375" bestFit="1" customWidth="1"/>
    <col min="15" max="15" width="26.7109375" bestFit="1" customWidth="1"/>
    <col min="16" max="16" width="24.7109375" bestFit="1" customWidth="1"/>
    <col min="17" max="17" width="27.5703125" bestFit="1" customWidth="1"/>
    <col min="18" max="18" width="19.140625" bestFit="1" customWidth="1"/>
    <col min="19" max="19" width="7.42578125" bestFit="1" customWidth="1"/>
    <col min="20" max="20" width="36.42578125" bestFit="1" customWidth="1"/>
    <col min="21" max="21" width="9.5703125" bestFit="1" customWidth="1"/>
    <col min="22" max="22" width="10" bestFit="1" customWidth="1"/>
    <col min="23" max="23" width="20.85546875" bestFit="1" customWidth="1"/>
    <col min="24" max="24" width="17.28515625" bestFit="1" customWidth="1"/>
    <col min="25" max="25" width="22.140625" bestFit="1" customWidth="1"/>
    <col min="26" max="26" width="9.28515625" bestFit="1" customWidth="1"/>
    <col min="27" max="27" width="6.5703125" bestFit="1" customWidth="1"/>
    <col min="28" max="28" width="36.7109375" bestFit="1" customWidth="1"/>
    <col min="29" max="29" width="8.42578125" bestFit="1" customWidth="1"/>
    <col min="30" max="30" width="11.85546875" bestFit="1" customWidth="1"/>
  </cols>
  <sheetData>
    <row r="1" spans="1:7" x14ac:dyDescent="0.25">
      <c r="A1" s="21" t="s">
        <v>219</v>
      </c>
      <c r="B1" t="s">
        <v>220</v>
      </c>
    </row>
    <row r="2" spans="1:7" x14ac:dyDescent="0.25">
      <c r="E2"/>
    </row>
    <row r="3" spans="1:7" x14ac:dyDescent="0.25">
      <c r="A3" s="21" t="s">
        <v>63</v>
      </c>
      <c r="B3" s="21" t="s">
        <v>60</v>
      </c>
      <c r="C3" s="21" t="s">
        <v>4</v>
      </c>
      <c r="D3" s="21" t="s">
        <v>6</v>
      </c>
      <c r="E3" s="21" t="s">
        <v>5</v>
      </c>
      <c r="F3" s="21" t="s">
        <v>7</v>
      </c>
      <c r="G3" s="23" t="s">
        <v>8</v>
      </c>
    </row>
    <row r="4" spans="1:7" x14ac:dyDescent="0.25">
      <c r="A4" t="s">
        <v>67</v>
      </c>
      <c r="B4" s="153" t="s">
        <v>66</v>
      </c>
      <c r="C4" t="s">
        <v>69</v>
      </c>
      <c r="D4" t="s">
        <v>35</v>
      </c>
      <c r="E4" t="s">
        <v>34</v>
      </c>
      <c r="F4" t="s">
        <v>10</v>
      </c>
      <c r="G4" t="s">
        <v>36</v>
      </c>
    </row>
    <row r="5" spans="1:7" x14ac:dyDescent="0.25">
      <c r="B5" s="153"/>
      <c r="D5" t="s">
        <v>39</v>
      </c>
      <c r="E5" t="s">
        <v>38</v>
      </c>
      <c r="F5" t="s">
        <v>10</v>
      </c>
      <c r="G5" t="s">
        <v>40</v>
      </c>
    </row>
    <row r="6" spans="1:7" x14ac:dyDescent="0.25">
      <c r="B6" s="153"/>
      <c r="D6" t="s">
        <v>14</v>
      </c>
      <c r="E6" t="s">
        <v>13</v>
      </c>
      <c r="F6" t="s">
        <v>10</v>
      </c>
      <c r="G6" t="s">
        <v>37</v>
      </c>
    </row>
    <row r="7" spans="1:7" x14ac:dyDescent="0.25">
      <c r="B7" s="153"/>
      <c r="C7" t="s">
        <v>51</v>
      </c>
      <c r="D7" t="s">
        <v>53</v>
      </c>
      <c r="E7" t="s">
        <v>52</v>
      </c>
      <c r="F7" t="s">
        <v>10</v>
      </c>
      <c r="G7" t="s">
        <v>54</v>
      </c>
    </row>
    <row r="8" spans="1:7" x14ac:dyDescent="0.25">
      <c r="B8" s="153"/>
      <c r="D8" t="s">
        <v>56</v>
      </c>
      <c r="E8" t="s">
        <v>55</v>
      </c>
      <c r="F8" t="s">
        <v>10</v>
      </c>
      <c r="G8" t="s">
        <v>57</v>
      </c>
    </row>
    <row r="9" spans="1:7" x14ac:dyDescent="0.25">
      <c r="E9"/>
    </row>
    <row r="10" spans="1:7" x14ac:dyDescent="0.25">
      <c r="A10" t="s">
        <v>165</v>
      </c>
      <c r="B10" s="153" t="s">
        <v>164</v>
      </c>
      <c r="C10" t="s">
        <v>69</v>
      </c>
      <c r="D10" t="s">
        <v>35</v>
      </c>
      <c r="E10" t="s">
        <v>34</v>
      </c>
      <c r="F10" t="s">
        <v>10</v>
      </c>
      <c r="G10" t="s">
        <v>167</v>
      </c>
    </row>
    <row r="11" spans="1:7" x14ac:dyDescent="0.25">
      <c r="B11" s="153"/>
      <c r="D11" t="s">
        <v>39</v>
      </c>
      <c r="E11" t="s">
        <v>38</v>
      </c>
      <c r="F11" t="s">
        <v>10</v>
      </c>
      <c r="G11" t="s">
        <v>169</v>
      </c>
    </row>
    <row r="12" spans="1:7" x14ac:dyDescent="0.25">
      <c r="B12" s="153"/>
      <c r="D12" t="s">
        <v>153</v>
      </c>
      <c r="E12"/>
    </row>
    <row r="13" spans="1:7" x14ac:dyDescent="0.25">
      <c r="B13" s="153"/>
      <c r="D13" t="s">
        <v>157</v>
      </c>
      <c r="E13"/>
    </row>
    <row r="14" spans="1:7" x14ac:dyDescent="0.25">
      <c r="B14" s="153"/>
      <c r="D14" t="s">
        <v>14</v>
      </c>
      <c r="E14" t="s">
        <v>13</v>
      </c>
      <c r="F14" t="s">
        <v>10</v>
      </c>
      <c r="G14" t="s">
        <v>168</v>
      </c>
    </row>
    <row r="15" spans="1:7" x14ac:dyDescent="0.25">
      <c r="B15" s="153"/>
      <c r="C15" t="s">
        <v>51</v>
      </c>
      <c r="D15" t="s">
        <v>53</v>
      </c>
      <c r="E15" t="s">
        <v>52</v>
      </c>
      <c r="F15" t="s">
        <v>10</v>
      </c>
      <c r="G15" t="s">
        <v>54</v>
      </c>
    </row>
    <row r="16" spans="1:7" x14ac:dyDescent="0.25">
      <c r="B16" s="153"/>
      <c r="D16" t="s">
        <v>56</v>
      </c>
      <c r="E16" t="s">
        <v>55</v>
      </c>
      <c r="F16" t="s">
        <v>10</v>
      </c>
      <c r="G16" t="s">
        <v>57</v>
      </c>
    </row>
    <row r="17" spans="1:7" x14ac:dyDescent="0.25">
      <c r="B17" s="153"/>
      <c r="C17" t="s">
        <v>17</v>
      </c>
      <c r="D17" t="s">
        <v>44</v>
      </c>
      <c r="E17" t="s">
        <v>43</v>
      </c>
      <c r="F17" t="s">
        <v>11</v>
      </c>
      <c r="G17">
        <v>2100</v>
      </c>
    </row>
    <row r="18" spans="1:7" x14ac:dyDescent="0.25">
      <c r="B18" s="153"/>
      <c r="D18" t="s">
        <v>47</v>
      </c>
      <c r="E18" t="s">
        <v>46</v>
      </c>
      <c r="F18" t="s">
        <v>11</v>
      </c>
      <c r="G18">
        <v>1000</v>
      </c>
    </row>
    <row r="19" spans="1:7" x14ac:dyDescent="0.25">
      <c r="E19"/>
    </row>
    <row r="20" spans="1:7" x14ac:dyDescent="0.25">
      <c r="A20" t="s">
        <v>105</v>
      </c>
      <c r="B20" t="s">
        <v>70</v>
      </c>
      <c r="C20" t="s">
        <v>90</v>
      </c>
      <c r="D20" t="s">
        <v>92</v>
      </c>
      <c r="E20" t="s">
        <v>91</v>
      </c>
      <c r="F20" t="s">
        <v>93</v>
      </c>
      <c r="G20" t="s">
        <v>94</v>
      </c>
    </row>
    <row r="21" spans="1:7" x14ac:dyDescent="0.25">
      <c r="D21" t="s">
        <v>96</v>
      </c>
      <c r="E21" t="s">
        <v>95</v>
      </c>
      <c r="F21" t="s">
        <v>93</v>
      </c>
      <c r="G21" t="s">
        <v>94</v>
      </c>
    </row>
    <row r="22" spans="1:7" x14ac:dyDescent="0.25">
      <c r="D22" t="s">
        <v>103</v>
      </c>
      <c r="E22" t="s">
        <v>82</v>
      </c>
      <c r="F22" t="s">
        <v>93</v>
      </c>
      <c r="G22" t="s">
        <v>94</v>
      </c>
    </row>
    <row r="23" spans="1:7" x14ac:dyDescent="0.25">
      <c r="C23" t="s">
        <v>69</v>
      </c>
      <c r="D23" t="s">
        <v>74</v>
      </c>
      <c r="E23" t="s">
        <v>101</v>
      </c>
      <c r="F23" t="s">
        <v>10</v>
      </c>
      <c r="G23" t="s">
        <v>106</v>
      </c>
    </row>
    <row r="24" spans="1:7" x14ac:dyDescent="0.25">
      <c r="D24" t="s">
        <v>77</v>
      </c>
      <c r="E24" t="s">
        <v>73</v>
      </c>
      <c r="F24" t="s">
        <v>10</v>
      </c>
      <c r="G24" t="s">
        <v>107</v>
      </c>
    </row>
    <row r="25" spans="1:7" x14ac:dyDescent="0.25">
      <c r="D25" t="s">
        <v>14</v>
      </c>
      <c r="E25" t="s">
        <v>13</v>
      </c>
      <c r="F25" t="s">
        <v>10</v>
      </c>
      <c r="G25" t="s">
        <v>107</v>
      </c>
    </row>
    <row r="26" spans="1:7" x14ac:dyDescent="0.25">
      <c r="C26" t="s">
        <v>79</v>
      </c>
      <c r="D26" t="s">
        <v>81</v>
      </c>
      <c r="E26" t="s">
        <v>80</v>
      </c>
      <c r="F26" t="s">
        <v>10</v>
      </c>
      <c r="G26" t="s">
        <v>107</v>
      </c>
    </row>
    <row r="27" spans="1:7" x14ac:dyDescent="0.25">
      <c r="C27" t="s">
        <v>51</v>
      </c>
      <c r="D27" t="s">
        <v>53</v>
      </c>
      <c r="E27" t="s">
        <v>52</v>
      </c>
      <c r="F27" t="s">
        <v>10</v>
      </c>
      <c r="G27" t="s">
        <v>54</v>
      </c>
    </row>
    <row r="28" spans="1:7" x14ac:dyDescent="0.25">
      <c r="D28" t="s">
        <v>56</v>
      </c>
      <c r="E28" t="s">
        <v>55</v>
      </c>
      <c r="F28" t="s">
        <v>10</v>
      </c>
      <c r="G28" t="s">
        <v>57</v>
      </c>
    </row>
    <row r="29" spans="1:7" x14ac:dyDescent="0.25">
      <c r="C29" t="s">
        <v>17</v>
      </c>
      <c r="D29" t="s">
        <v>19</v>
      </c>
      <c r="E29" t="s">
        <v>18</v>
      </c>
      <c r="F29" t="s">
        <v>11</v>
      </c>
      <c r="G29">
        <v>40</v>
      </c>
    </row>
    <row r="30" spans="1:7" x14ac:dyDescent="0.25">
      <c r="A30" t="s">
        <v>100</v>
      </c>
      <c r="B30" t="s">
        <v>70</v>
      </c>
      <c r="C30" t="s">
        <v>90</v>
      </c>
      <c r="D30" t="s">
        <v>92</v>
      </c>
      <c r="E30" t="s">
        <v>91</v>
      </c>
      <c r="F30" t="s">
        <v>93</v>
      </c>
      <c r="G30" t="s">
        <v>94</v>
      </c>
    </row>
    <row r="31" spans="1:7" x14ac:dyDescent="0.25">
      <c r="D31" t="s">
        <v>96</v>
      </c>
      <c r="E31" t="s">
        <v>95</v>
      </c>
      <c r="F31" t="s">
        <v>93</v>
      </c>
      <c r="G31" t="s">
        <v>94</v>
      </c>
    </row>
    <row r="32" spans="1:7" x14ac:dyDescent="0.25">
      <c r="D32" t="s">
        <v>103</v>
      </c>
      <c r="E32" t="s">
        <v>82</v>
      </c>
      <c r="F32" t="s">
        <v>93</v>
      </c>
      <c r="G32" t="s">
        <v>94</v>
      </c>
    </row>
    <row r="33" spans="1:7" x14ac:dyDescent="0.25">
      <c r="C33" t="s">
        <v>69</v>
      </c>
      <c r="D33" t="s">
        <v>74</v>
      </c>
      <c r="E33" t="s">
        <v>101</v>
      </c>
      <c r="F33" t="s">
        <v>10</v>
      </c>
      <c r="G33" t="s">
        <v>15</v>
      </c>
    </row>
    <row r="34" spans="1:7" x14ac:dyDescent="0.25">
      <c r="D34" t="s">
        <v>77</v>
      </c>
      <c r="E34" t="s">
        <v>73</v>
      </c>
      <c r="F34" t="s">
        <v>10</v>
      </c>
      <c r="G34" t="s">
        <v>15</v>
      </c>
    </row>
    <row r="35" spans="1:7" x14ac:dyDescent="0.25">
      <c r="D35" t="s">
        <v>14</v>
      </c>
      <c r="E35" t="s">
        <v>13</v>
      </c>
      <c r="F35" t="s">
        <v>10</v>
      </c>
      <c r="G35" t="s">
        <v>102</v>
      </c>
    </row>
    <row r="36" spans="1:7" x14ac:dyDescent="0.25">
      <c r="C36" t="s">
        <v>79</v>
      </c>
      <c r="D36" t="s">
        <v>81</v>
      </c>
      <c r="E36" t="s">
        <v>80</v>
      </c>
      <c r="F36" t="s">
        <v>10</v>
      </c>
      <c r="G36" t="s">
        <v>102</v>
      </c>
    </row>
    <row r="37" spans="1:7" x14ac:dyDescent="0.25">
      <c r="C37" t="s">
        <v>51</v>
      </c>
      <c r="D37" t="s">
        <v>53</v>
      </c>
      <c r="E37" t="s">
        <v>52</v>
      </c>
      <c r="F37" t="s">
        <v>10</v>
      </c>
      <c r="G37" t="s">
        <v>54</v>
      </c>
    </row>
    <row r="38" spans="1:7" x14ac:dyDescent="0.25">
      <c r="D38" t="s">
        <v>56</v>
      </c>
      <c r="E38" t="s">
        <v>55</v>
      </c>
      <c r="F38" t="s">
        <v>10</v>
      </c>
      <c r="G38" t="s">
        <v>57</v>
      </c>
    </row>
    <row r="39" spans="1:7" x14ac:dyDescent="0.25">
      <c r="C39" t="s">
        <v>17</v>
      </c>
      <c r="D39" t="s">
        <v>19</v>
      </c>
      <c r="E39" t="s">
        <v>18</v>
      </c>
      <c r="F39" t="s">
        <v>11</v>
      </c>
      <c r="G39">
        <v>40</v>
      </c>
    </row>
    <row r="40" spans="1:7" x14ac:dyDescent="0.25">
      <c r="E40"/>
    </row>
    <row r="41" spans="1:7" x14ac:dyDescent="0.25">
      <c r="A41" t="s">
        <v>181</v>
      </c>
      <c r="B41" s="153" t="s">
        <v>180</v>
      </c>
      <c r="C41" t="s">
        <v>69</v>
      </c>
      <c r="D41" t="s">
        <v>35</v>
      </c>
      <c r="E41" t="s">
        <v>34</v>
      </c>
      <c r="F41" t="s">
        <v>10</v>
      </c>
      <c r="G41" t="s">
        <v>183</v>
      </c>
    </row>
    <row r="42" spans="1:7" x14ac:dyDescent="0.25">
      <c r="B42" s="153"/>
      <c r="D42" t="s">
        <v>153</v>
      </c>
      <c r="E42"/>
    </row>
    <row r="43" spans="1:7" x14ac:dyDescent="0.25">
      <c r="B43" s="153"/>
      <c r="D43" t="s">
        <v>157</v>
      </c>
      <c r="E43"/>
    </row>
    <row r="44" spans="1:7" x14ac:dyDescent="0.25">
      <c r="B44" s="153"/>
      <c r="D44" t="s">
        <v>14</v>
      </c>
      <c r="E44" t="s">
        <v>13</v>
      </c>
      <c r="F44" t="s">
        <v>10</v>
      </c>
      <c r="G44" t="s">
        <v>185</v>
      </c>
    </row>
    <row r="45" spans="1:7" x14ac:dyDescent="0.25">
      <c r="B45" s="153"/>
      <c r="C45" t="s">
        <v>51</v>
      </c>
      <c r="D45" t="s">
        <v>53</v>
      </c>
      <c r="E45" t="s">
        <v>52</v>
      </c>
      <c r="F45" t="s">
        <v>10</v>
      </c>
      <c r="G45" t="s">
        <v>54</v>
      </c>
    </row>
    <row r="46" spans="1:7" x14ac:dyDescent="0.25">
      <c r="B46" s="153"/>
      <c r="D46" t="s">
        <v>56</v>
      </c>
      <c r="E46" t="s">
        <v>55</v>
      </c>
      <c r="F46" t="s">
        <v>10</v>
      </c>
      <c r="G46" t="s">
        <v>57</v>
      </c>
    </row>
    <row r="47" spans="1:7" x14ac:dyDescent="0.25">
      <c r="E47"/>
    </row>
    <row r="48" spans="1:7" x14ac:dyDescent="0.25">
      <c r="A48" t="s">
        <v>119</v>
      </c>
      <c r="B48" t="s">
        <v>118</v>
      </c>
      <c r="C48" t="s">
        <v>69</v>
      </c>
      <c r="D48" t="s">
        <v>35</v>
      </c>
      <c r="E48" t="s">
        <v>34</v>
      </c>
      <c r="F48" t="s">
        <v>10</v>
      </c>
      <c r="G48" t="s">
        <v>121</v>
      </c>
    </row>
    <row r="49" spans="1:7" x14ac:dyDescent="0.25">
      <c r="D49" t="s">
        <v>39</v>
      </c>
      <c r="E49" t="s">
        <v>38</v>
      </c>
      <c r="F49" t="s">
        <v>10</v>
      </c>
      <c r="G49" t="s">
        <v>122</v>
      </c>
    </row>
    <row r="50" spans="1:7" x14ac:dyDescent="0.25">
      <c r="D50" t="s">
        <v>14</v>
      </c>
      <c r="E50" t="s">
        <v>13</v>
      </c>
      <c r="F50" t="s">
        <v>10</v>
      </c>
      <c r="G50" t="s">
        <v>122</v>
      </c>
    </row>
    <row r="51" spans="1:7" x14ac:dyDescent="0.25">
      <c r="C51" t="s">
        <v>51</v>
      </c>
      <c r="D51" t="s">
        <v>53</v>
      </c>
      <c r="E51" t="s">
        <v>52</v>
      </c>
      <c r="F51" t="s">
        <v>10</v>
      </c>
      <c r="G51" t="s">
        <v>54</v>
      </c>
    </row>
    <row r="52" spans="1:7" x14ac:dyDescent="0.25">
      <c r="D52" t="s">
        <v>56</v>
      </c>
      <c r="E52" t="s">
        <v>55</v>
      </c>
      <c r="F52" t="s">
        <v>10</v>
      </c>
      <c r="G52" t="s">
        <v>57</v>
      </c>
    </row>
    <row r="53" spans="1:7" x14ac:dyDescent="0.25">
      <c r="C53" t="s">
        <v>17</v>
      </c>
      <c r="D53" t="s">
        <v>124</v>
      </c>
      <c r="E53" t="s">
        <v>123</v>
      </c>
      <c r="F53" t="s">
        <v>11</v>
      </c>
      <c r="G53">
        <v>300</v>
      </c>
    </row>
    <row r="54" spans="1:7" x14ac:dyDescent="0.25">
      <c r="D54" t="s">
        <v>44</v>
      </c>
      <c r="E54" t="s">
        <v>43</v>
      </c>
      <c r="F54" t="s">
        <v>11</v>
      </c>
      <c r="G54">
        <v>600</v>
      </c>
    </row>
    <row r="55" spans="1:7" x14ac:dyDescent="0.25">
      <c r="D55" t="s">
        <v>47</v>
      </c>
      <c r="E55" t="s">
        <v>46</v>
      </c>
      <c r="F55" t="s">
        <v>11</v>
      </c>
      <c r="G55">
        <v>150</v>
      </c>
    </row>
    <row r="56" spans="1:7" x14ac:dyDescent="0.25">
      <c r="E56"/>
    </row>
    <row r="57" spans="1:7" x14ac:dyDescent="0.25">
      <c r="A57" t="s">
        <v>126</v>
      </c>
      <c r="B57" t="s">
        <v>127</v>
      </c>
      <c r="C57" t="s">
        <v>69</v>
      </c>
      <c r="D57" t="s">
        <v>35</v>
      </c>
      <c r="E57" t="s">
        <v>34</v>
      </c>
      <c r="F57" t="s">
        <v>10</v>
      </c>
      <c r="G57" t="s">
        <v>129</v>
      </c>
    </row>
    <row r="58" spans="1:7" x14ac:dyDescent="0.25">
      <c r="D58" t="s">
        <v>39</v>
      </c>
      <c r="E58" t="s">
        <v>38</v>
      </c>
      <c r="F58" t="s">
        <v>10</v>
      </c>
      <c r="G58" t="s">
        <v>126</v>
      </c>
    </row>
    <row r="59" spans="1:7" x14ac:dyDescent="0.25">
      <c r="D59" t="s">
        <v>14</v>
      </c>
      <c r="E59" t="s">
        <v>13</v>
      </c>
      <c r="F59" t="s">
        <v>10</v>
      </c>
      <c r="G59" t="s">
        <v>130</v>
      </c>
    </row>
    <row r="60" spans="1:7" x14ac:dyDescent="0.25">
      <c r="C60" t="s">
        <v>51</v>
      </c>
      <c r="D60" t="s">
        <v>53</v>
      </c>
      <c r="E60" t="s">
        <v>52</v>
      </c>
      <c r="F60" t="s">
        <v>10</v>
      </c>
      <c r="G60" t="s">
        <v>54</v>
      </c>
    </row>
    <row r="61" spans="1:7" x14ac:dyDescent="0.25">
      <c r="D61" t="s">
        <v>56</v>
      </c>
      <c r="E61" t="s">
        <v>55</v>
      </c>
      <c r="F61" t="s">
        <v>10</v>
      </c>
      <c r="G61" t="s">
        <v>57</v>
      </c>
    </row>
    <row r="62" spans="1:7" x14ac:dyDescent="0.25">
      <c r="E62"/>
    </row>
    <row r="63" spans="1:7" x14ac:dyDescent="0.25">
      <c r="A63" t="s">
        <v>62</v>
      </c>
      <c r="B63" t="s">
        <v>61</v>
      </c>
      <c r="C63" t="s">
        <v>90</v>
      </c>
      <c r="D63" t="s">
        <v>30</v>
      </c>
      <c r="E63" t="s">
        <v>29</v>
      </c>
      <c r="F63" t="s">
        <v>10</v>
      </c>
      <c r="G63" t="s">
        <v>31</v>
      </c>
    </row>
    <row r="64" spans="1:7" x14ac:dyDescent="0.25">
      <c r="C64" t="s">
        <v>22</v>
      </c>
      <c r="D64" t="s">
        <v>27</v>
      </c>
      <c r="E64" t="s">
        <v>26</v>
      </c>
      <c r="F64" t="s">
        <v>10</v>
      </c>
      <c r="G64" t="s">
        <v>28</v>
      </c>
    </row>
    <row r="65" spans="1:7" x14ac:dyDescent="0.25">
      <c r="D65" t="s">
        <v>24</v>
      </c>
      <c r="E65" t="s">
        <v>23</v>
      </c>
      <c r="F65" t="s">
        <v>10</v>
      </c>
      <c r="G65" t="s">
        <v>25</v>
      </c>
    </row>
    <row r="66" spans="1:7" x14ac:dyDescent="0.25">
      <c r="E66"/>
    </row>
    <row r="67" spans="1:7" x14ac:dyDescent="0.25">
      <c r="A67" t="s">
        <v>149</v>
      </c>
      <c r="B67" t="s">
        <v>148</v>
      </c>
      <c r="C67" t="s">
        <v>69</v>
      </c>
      <c r="D67" t="s">
        <v>35</v>
      </c>
      <c r="E67" t="s">
        <v>34</v>
      </c>
      <c r="F67" t="s">
        <v>10</v>
      </c>
      <c r="G67" t="s">
        <v>151</v>
      </c>
    </row>
    <row r="68" spans="1:7" x14ac:dyDescent="0.25">
      <c r="D68" t="s">
        <v>39</v>
      </c>
      <c r="E68" t="s">
        <v>38</v>
      </c>
      <c r="F68" t="s">
        <v>10</v>
      </c>
      <c r="G68" t="s">
        <v>155</v>
      </c>
    </row>
    <row r="69" spans="1:7" x14ac:dyDescent="0.25">
      <c r="D69" t="s">
        <v>153</v>
      </c>
      <c r="E69"/>
    </row>
    <row r="70" spans="1:7" x14ac:dyDescent="0.25">
      <c r="D70" t="s">
        <v>157</v>
      </c>
      <c r="E70"/>
    </row>
    <row r="71" spans="1:7" x14ac:dyDescent="0.25">
      <c r="D71" t="s">
        <v>14</v>
      </c>
      <c r="E71" t="s">
        <v>13</v>
      </c>
      <c r="F71" t="s">
        <v>10</v>
      </c>
      <c r="G71" t="s">
        <v>155</v>
      </c>
    </row>
    <row r="72" spans="1:7" x14ac:dyDescent="0.25">
      <c r="C72" t="s">
        <v>51</v>
      </c>
      <c r="D72" t="s">
        <v>53</v>
      </c>
      <c r="E72" t="s">
        <v>52</v>
      </c>
      <c r="F72" t="s">
        <v>10</v>
      </c>
      <c r="G72" t="s">
        <v>54</v>
      </c>
    </row>
    <row r="73" spans="1:7" x14ac:dyDescent="0.25">
      <c r="D73" t="s">
        <v>56</v>
      </c>
      <c r="E73" t="s">
        <v>55</v>
      </c>
      <c r="F73" t="s">
        <v>10</v>
      </c>
      <c r="G73" t="s">
        <v>57</v>
      </c>
    </row>
    <row r="74" spans="1:7" x14ac:dyDescent="0.25">
      <c r="C74" t="s">
        <v>17</v>
      </c>
      <c r="D74" t="s">
        <v>44</v>
      </c>
      <c r="E74" t="s">
        <v>43</v>
      </c>
      <c r="F74" t="s">
        <v>11</v>
      </c>
      <c r="G74">
        <v>2100</v>
      </c>
    </row>
    <row r="75" spans="1:7" x14ac:dyDescent="0.25">
      <c r="D75" t="s">
        <v>47</v>
      </c>
      <c r="E75" t="s">
        <v>46</v>
      </c>
      <c r="F75" t="s">
        <v>11</v>
      </c>
      <c r="G75">
        <v>1000</v>
      </c>
    </row>
    <row r="76" spans="1:7" x14ac:dyDescent="0.25">
      <c r="E76"/>
    </row>
    <row r="77" spans="1:7" x14ac:dyDescent="0.25">
      <c r="A77" t="s">
        <v>133</v>
      </c>
      <c r="B77" s="153" t="s">
        <v>132</v>
      </c>
      <c r="C77" t="s">
        <v>69</v>
      </c>
      <c r="D77" t="s">
        <v>35</v>
      </c>
      <c r="E77" t="s">
        <v>34</v>
      </c>
      <c r="F77" t="s">
        <v>10</v>
      </c>
      <c r="G77" t="s">
        <v>135</v>
      </c>
    </row>
    <row r="78" spans="1:7" x14ac:dyDescent="0.25">
      <c r="B78" s="153"/>
      <c r="D78" t="s">
        <v>39</v>
      </c>
      <c r="E78" t="s">
        <v>38</v>
      </c>
      <c r="F78" t="s">
        <v>10</v>
      </c>
      <c r="G78" t="s">
        <v>137</v>
      </c>
    </row>
    <row r="79" spans="1:7" x14ac:dyDescent="0.25">
      <c r="B79" s="153"/>
      <c r="D79" t="s">
        <v>14</v>
      </c>
      <c r="E79" t="s">
        <v>13</v>
      </c>
      <c r="F79" t="s">
        <v>10</v>
      </c>
      <c r="G79" t="s">
        <v>136</v>
      </c>
    </row>
    <row r="80" spans="1:7" x14ac:dyDescent="0.25">
      <c r="B80" s="153"/>
      <c r="C80" t="s">
        <v>51</v>
      </c>
      <c r="D80" t="s">
        <v>53</v>
      </c>
      <c r="E80" t="s">
        <v>52</v>
      </c>
      <c r="F80" t="s">
        <v>10</v>
      </c>
      <c r="G80" t="s">
        <v>54</v>
      </c>
    </row>
    <row r="81" spans="1:7" x14ac:dyDescent="0.25">
      <c r="B81" s="153"/>
      <c r="D81" t="s">
        <v>56</v>
      </c>
      <c r="E81" t="s">
        <v>55</v>
      </c>
      <c r="F81" t="s">
        <v>10</v>
      </c>
      <c r="G81" t="s">
        <v>57</v>
      </c>
    </row>
    <row r="82" spans="1:7" x14ac:dyDescent="0.25">
      <c r="B82" s="153"/>
      <c r="C82" t="s">
        <v>17</v>
      </c>
      <c r="D82" t="s">
        <v>139</v>
      </c>
      <c r="E82" t="s">
        <v>138</v>
      </c>
      <c r="F82" t="s">
        <v>11</v>
      </c>
      <c r="G82">
        <v>20</v>
      </c>
    </row>
    <row r="83" spans="1:7" x14ac:dyDescent="0.25">
      <c r="E83"/>
    </row>
    <row r="84" spans="1:7" x14ac:dyDescent="0.25">
      <c r="A84" t="s">
        <v>192</v>
      </c>
      <c r="B84" t="s">
        <v>191</v>
      </c>
      <c r="C84" t="s">
        <v>69</v>
      </c>
      <c r="D84" t="s">
        <v>35</v>
      </c>
      <c r="E84" t="s">
        <v>34</v>
      </c>
      <c r="F84" t="s">
        <v>10</v>
      </c>
      <c r="G84" t="s">
        <v>193</v>
      </c>
    </row>
    <row r="85" spans="1:7" x14ac:dyDescent="0.25">
      <c r="D85" t="s">
        <v>39</v>
      </c>
      <c r="E85" t="s">
        <v>38</v>
      </c>
      <c r="F85" t="s">
        <v>10</v>
      </c>
      <c r="G85" t="s">
        <v>195</v>
      </c>
    </row>
    <row r="86" spans="1:7" x14ac:dyDescent="0.25">
      <c r="D86" t="s">
        <v>153</v>
      </c>
      <c r="E86"/>
    </row>
    <row r="87" spans="1:7" x14ac:dyDescent="0.25">
      <c r="D87" t="s">
        <v>157</v>
      </c>
      <c r="E87"/>
    </row>
    <row r="88" spans="1:7" x14ac:dyDescent="0.25">
      <c r="D88" t="s">
        <v>14</v>
      </c>
      <c r="E88" t="s">
        <v>13</v>
      </c>
      <c r="F88" t="s">
        <v>10</v>
      </c>
      <c r="G88" t="s">
        <v>194</v>
      </c>
    </row>
    <row r="89" spans="1:7" x14ac:dyDescent="0.25">
      <c r="C89" t="s">
        <v>51</v>
      </c>
      <c r="D89" t="s">
        <v>53</v>
      </c>
      <c r="E89" t="s">
        <v>52</v>
      </c>
      <c r="F89" t="s">
        <v>10</v>
      </c>
      <c r="G89" t="s">
        <v>54</v>
      </c>
    </row>
    <row r="90" spans="1:7" x14ac:dyDescent="0.25">
      <c r="D90" t="s">
        <v>56</v>
      </c>
      <c r="E90" t="s">
        <v>55</v>
      </c>
      <c r="F90" t="s">
        <v>10</v>
      </c>
      <c r="G90" t="s">
        <v>57</v>
      </c>
    </row>
    <row r="91" spans="1:7" x14ac:dyDescent="0.25">
      <c r="E91"/>
    </row>
    <row r="92" spans="1:7" x14ac:dyDescent="0.25">
      <c r="A92" t="s">
        <v>143</v>
      </c>
      <c r="B92" s="153" t="s">
        <v>142</v>
      </c>
      <c r="C92" t="s">
        <v>69</v>
      </c>
      <c r="D92" t="s">
        <v>35</v>
      </c>
      <c r="E92" t="s">
        <v>34</v>
      </c>
      <c r="F92" t="s">
        <v>10</v>
      </c>
      <c r="G92" t="s">
        <v>145</v>
      </c>
    </row>
    <row r="93" spans="1:7" x14ac:dyDescent="0.25">
      <c r="B93" s="153"/>
      <c r="D93" t="s">
        <v>39</v>
      </c>
      <c r="E93" t="s">
        <v>38</v>
      </c>
      <c r="F93" t="s">
        <v>10</v>
      </c>
      <c r="G93" t="s">
        <v>143</v>
      </c>
    </row>
    <row r="94" spans="1:7" x14ac:dyDescent="0.25">
      <c r="B94" s="153"/>
      <c r="D94" t="s">
        <v>14</v>
      </c>
      <c r="E94" t="s">
        <v>13</v>
      </c>
      <c r="F94" t="s">
        <v>10</v>
      </c>
      <c r="G94" t="s">
        <v>146</v>
      </c>
    </row>
    <row r="95" spans="1:7" x14ac:dyDescent="0.25">
      <c r="B95" s="153"/>
      <c r="C95" t="s">
        <v>51</v>
      </c>
      <c r="D95" t="s">
        <v>53</v>
      </c>
      <c r="E95" t="s">
        <v>52</v>
      </c>
      <c r="F95" t="s">
        <v>10</v>
      </c>
      <c r="G95" t="s">
        <v>54</v>
      </c>
    </row>
    <row r="96" spans="1:7" x14ac:dyDescent="0.25">
      <c r="B96" s="153"/>
      <c r="D96" t="s">
        <v>56</v>
      </c>
      <c r="E96" t="s">
        <v>55</v>
      </c>
      <c r="F96" t="s">
        <v>10</v>
      </c>
      <c r="G96" t="s">
        <v>57</v>
      </c>
    </row>
    <row r="97" spans="1:7" x14ac:dyDescent="0.25">
      <c r="B97" s="153"/>
      <c r="C97" t="s">
        <v>17</v>
      </c>
      <c r="D97" t="s">
        <v>115</v>
      </c>
      <c r="E97" t="s">
        <v>114</v>
      </c>
      <c r="F97" t="s">
        <v>11</v>
      </c>
      <c r="G97">
        <v>150</v>
      </c>
    </row>
    <row r="98" spans="1:7" x14ac:dyDescent="0.25">
      <c r="E98"/>
    </row>
    <row r="99" spans="1:7" x14ac:dyDescent="0.25">
      <c r="A99" t="s">
        <v>71</v>
      </c>
      <c r="B99" t="s">
        <v>70</v>
      </c>
      <c r="C99" t="s">
        <v>90</v>
      </c>
      <c r="D99" t="s">
        <v>92</v>
      </c>
      <c r="E99" t="s">
        <v>91</v>
      </c>
      <c r="F99" t="s">
        <v>93</v>
      </c>
      <c r="G99" t="s">
        <v>94</v>
      </c>
    </row>
    <row r="100" spans="1:7" x14ac:dyDescent="0.25">
      <c r="D100" t="s">
        <v>96</v>
      </c>
      <c r="E100" t="s">
        <v>95</v>
      </c>
      <c r="F100" t="s">
        <v>93</v>
      </c>
      <c r="G100" t="s">
        <v>94</v>
      </c>
    </row>
    <row r="101" spans="1:7" x14ac:dyDescent="0.25">
      <c r="D101" t="s">
        <v>98</v>
      </c>
      <c r="E101" t="s">
        <v>97</v>
      </c>
      <c r="F101" t="s">
        <v>93</v>
      </c>
      <c r="G101" t="s">
        <v>94</v>
      </c>
    </row>
    <row r="102" spans="1:7" x14ac:dyDescent="0.25">
      <c r="C102" t="s">
        <v>69</v>
      </c>
      <c r="D102" t="s">
        <v>74</v>
      </c>
      <c r="E102" t="s">
        <v>101</v>
      </c>
      <c r="F102" t="s">
        <v>10</v>
      </c>
      <c r="G102" t="s">
        <v>75</v>
      </c>
    </row>
    <row r="103" spans="1:7" x14ac:dyDescent="0.25">
      <c r="D103" t="s">
        <v>77</v>
      </c>
      <c r="E103" t="s">
        <v>73</v>
      </c>
      <c r="F103" t="s">
        <v>10</v>
      </c>
      <c r="G103" t="s">
        <v>76</v>
      </c>
    </row>
    <row r="104" spans="1:7" x14ac:dyDescent="0.25">
      <c r="D104" t="s">
        <v>14</v>
      </c>
      <c r="E104" t="s">
        <v>13</v>
      </c>
      <c r="F104" t="s">
        <v>10</v>
      </c>
      <c r="G104" t="s">
        <v>76</v>
      </c>
    </row>
    <row r="105" spans="1:7" x14ac:dyDescent="0.25">
      <c r="C105" t="s">
        <v>79</v>
      </c>
      <c r="D105" t="s">
        <v>87</v>
      </c>
      <c r="E105" t="s">
        <v>86</v>
      </c>
      <c r="F105" t="s">
        <v>10</v>
      </c>
      <c r="G105">
        <v>12</v>
      </c>
    </row>
    <row r="106" spans="1:7" x14ac:dyDescent="0.25">
      <c r="D106" t="s">
        <v>84</v>
      </c>
      <c r="E106" t="s">
        <v>83</v>
      </c>
      <c r="F106" t="s">
        <v>10</v>
      </c>
      <c r="G106" t="s">
        <v>85</v>
      </c>
    </row>
    <row r="107" spans="1:7" x14ac:dyDescent="0.25">
      <c r="D107" t="s">
        <v>89</v>
      </c>
      <c r="E107" t="s">
        <v>88</v>
      </c>
      <c r="F107" t="s">
        <v>10</v>
      </c>
      <c r="G107">
        <v>1</v>
      </c>
    </row>
    <row r="108" spans="1:7" x14ac:dyDescent="0.25">
      <c r="D108" t="s">
        <v>81</v>
      </c>
      <c r="E108" t="s">
        <v>80</v>
      </c>
      <c r="F108" t="s">
        <v>10</v>
      </c>
      <c r="G108" t="s">
        <v>82</v>
      </c>
    </row>
    <row r="109" spans="1:7" x14ac:dyDescent="0.25">
      <c r="C109" t="s">
        <v>51</v>
      </c>
      <c r="D109" t="s">
        <v>53</v>
      </c>
      <c r="E109" t="s">
        <v>52</v>
      </c>
      <c r="F109" t="s">
        <v>10</v>
      </c>
      <c r="G109" t="s">
        <v>54</v>
      </c>
    </row>
    <row r="110" spans="1:7" x14ac:dyDescent="0.25">
      <c r="D110" t="s">
        <v>56</v>
      </c>
      <c r="E110" t="s">
        <v>55</v>
      </c>
      <c r="F110" t="s">
        <v>10</v>
      </c>
      <c r="G110" t="s">
        <v>57</v>
      </c>
    </row>
    <row r="111" spans="1:7" x14ac:dyDescent="0.25">
      <c r="C111" t="s">
        <v>17</v>
      </c>
      <c r="D111" t="s">
        <v>19</v>
      </c>
      <c r="E111" t="s">
        <v>18</v>
      </c>
      <c r="F111" t="s">
        <v>11</v>
      </c>
      <c r="G111">
        <v>40</v>
      </c>
    </row>
    <row r="112" spans="1:7" x14ac:dyDescent="0.25">
      <c r="E112"/>
    </row>
    <row r="113" spans="1:7" x14ac:dyDescent="0.25">
      <c r="A113" t="s">
        <v>110</v>
      </c>
      <c r="B113" s="153" t="s">
        <v>109</v>
      </c>
      <c r="C113" t="s">
        <v>69</v>
      </c>
      <c r="D113" t="s">
        <v>35</v>
      </c>
      <c r="E113" t="s">
        <v>34</v>
      </c>
      <c r="F113" t="s">
        <v>10</v>
      </c>
      <c r="G113" t="s">
        <v>112</v>
      </c>
    </row>
    <row r="114" spans="1:7" x14ac:dyDescent="0.25">
      <c r="B114" s="153"/>
      <c r="D114" t="s">
        <v>39</v>
      </c>
      <c r="E114" t="s">
        <v>38</v>
      </c>
      <c r="F114" t="s">
        <v>10</v>
      </c>
      <c r="G114" t="s">
        <v>113</v>
      </c>
    </row>
    <row r="115" spans="1:7" x14ac:dyDescent="0.25">
      <c r="B115" s="153"/>
      <c r="D115" t="s">
        <v>14</v>
      </c>
      <c r="E115" t="s">
        <v>13</v>
      </c>
      <c r="F115" t="s">
        <v>10</v>
      </c>
      <c r="G115" t="s">
        <v>113</v>
      </c>
    </row>
    <row r="116" spans="1:7" x14ac:dyDescent="0.25">
      <c r="B116" s="153"/>
      <c r="C116" t="s">
        <v>51</v>
      </c>
      <c r="D116" t="s">
        <v>53</v>
      </c>
      <c r="E116" t="s">
        <v>52</v>
      </c>
      <c r="F116" t="s">
        <v>10</v>
      </c>
      <c r="G116" t="s">
        <v>54</v>
      </c>
    </row>
    <row r="117" spans="1:7" x14ac:dyDescent="0.25">
      <c r="B117" s="153"/>
      <c r="D117" t="s">
        <v>56</v>
      </c>
      <c r="E117" t="s">
        <v>55</v>
      </c>
      <c r="F117" t="s">
        <v>10</v>
      </c>
      <c r="G117" t="s">
        <v>57</v>
      </c>
    </row>
    <row r="118" spans="1:7" x14ac:dyDescent="0.25">
      <c r="B118" s="153"/>
      <c r="C118" t="s">
        <v>17</v>
      </c>
      <c r="D118" t="s">
        <v>44</v>
      </c>
      <c r="E118" t="s">
        <v>43</v>
      </c>
      <c r="F118" t="s">
        <v>11</v>
      </c>
      <c r="G118">
        <v>3300</v>
      </c>
    </row>
    <row r="119" spans="1:7" x14ac:dyDescent="0.25">
      <c r="B119" s="153"/>
      <c r="D119" t="s">
        <v>49</v>
      </c>
      <c r="E119" t="s">
        <v>48</v>
      </c>
      <c r="F119" t="s">
        <v>11</v>
      </c>
      <c r="G119">
        <v>2100</v>
      </c>
    </row>
    <row r="120" spans="1:7" x14ac:dyDescent="0.25">
      <c r="B120" s="153"/>
      <c r="D120" t="s">
        <v>42</v>
      </c>
      <c r="E120" t="s">
        <v>41</v>
      </c>
      <c r="F120" t="s">
        <v>11</v>
      </c>
      <c r="G120" t="s">
        <v>116</v>
      </c>
    </row>
    <row r="121" spans="1:7" x14ac:dyDescent="0.25">
      <c r="E121"/>
    </row>
    <row r="122" spans="1:7" x14ac:dyDescent="0.25">
      <c r="A122" t="s">
        <v>173</v>
      </c>
      <c r="B122" s="153" t="s">
        <v>172</v>
      </c>
      <c r="C122" t="s">
        <v>69</v>
      </c>
      <c r="D122" t="s">
        <v>35</v>
      </c>
      <c r="E122" t="s">
        <v>34</v>
      </c>
      <c r="F122" t="s">
        <v>10</v>
      </c>
      <c r="G122" t="s">
        <v>174</v>
      </c>
    </row>
    <row r="123" spans="1:7" x14ac:dyDescent="0.25">
      <c r="B123" s="153"/>
      <c r="D123" t="s">
        <v>39</v>
      </c>
      <c r="E123" t="s">
        <v>38</v>
      </c>
      <c r="F123" t="s">
        <v>10</v>
      </c>
      <c r="G123" t="s">
        <v>178</v>
      </c>
    </row>
    <row r="124" spans="1:7" x14ac:dyDescent="0.25">
      <c r="B124" s="153"/>
      <c r="D124" t="s">
        <v>153</v>
      </c>
      <c r="E124"/>
    </row>
    <row r="125" spans="1:7" x14ac:dyDescent="0.25">
      <c r="B125" s="153"/>
      <c r="D125" t="s">
        <v>157</v>
      </c>
      <c r="E125"/>
    </row>
    <row r="126" spans="1:7" x14ac:dyDescent="0.25">
      <c r="B126" s="153"/>
      <c r="D126" t="s">
        <v>14</v>
      </c>
      <c r="E126" t="s">
        <v>13</v>
      </c>
      <c r="F126" t="s">
        <v>10</v>
      </c>
      <c r="G126" t="s">
        <v>176</v>
      </c>
    </row>
    <row r="127" spans="1:7" x14ac:dyDescent="0.25">
      <c r="B127" s="153"/>
      <c r="C127" t="s">
        <v>51</v>
      </c>
      <c r="D127" t="s">
        <v>53</v>
      </c>
      <c r="E127" t="s">
        <v>52</v>
      </c>
      <c r="F127" t="s">
        <v>10</v>
      </c>
      <c r="G127" t="s">
        <v>54</v>
      </c>
    </row>
    <row r="128" spans="1:7" x14ac:dyDescent="0.25">
      <c r="B128" s="153"/>
      <c r="D128" t="s">
        <v>56</v>
      </c>
      <c r="E128" t="s">
        <v>55</v>
      </c>
      <c r="F128" t="s">
        <v>10</v>
      </c>
      <c r="G128" t="s">
        <v>57</v>
      </c>
    </row>
    <row r="129" spans="2:7" x14ac:dyDescent="0.25">
      <c r="B129" s="153"/>
      <c r="C129" t="s">
        <v>17</v>
      </c>
      <c r="D129" t="s">
        <v>115</v>
      </c>
      <c r="E129" t="s">
        <v>114</v>
      </c>
      <c r="F129" t="s">
        <v>11</v>
      </c>
      <c r="G129">
        <v>150</v>
      </c>
    </row>
    <row r="130" spans="2:7" x14ac:dyDescent="0.25">
      <c r="E130"/>
    </row>
    <row r="131" spans="2:7" x14ac:dyDescent="0.25">
      <c r="E131"/>
    </row>
    <row r="132" spans="2:7" x14ac:dyDescent="0.25">
      <c r="E132"/>
    </row>
    <row r="133" spans="2:7" x14ac:dyDescent="0.25">
      <c r="E133"/>
    </row>
    <row r="134" spans="2:7" x14ac:dyDescent="0.25">
      <c r="E134"/>
    </row>
    <row r="135" spans="2:7" x14ac:dyDescent="0.25">
      <c r="E135"/>
    </row>
    <row r="136" spans="2:7" x14ac:dyDescent="0.25">
      <c r="E136"/>
    </row>
    <row r="137" spans="2:7" x14ac:dyDescent="0.25">
      <c r="E137"/>
    </row>
    <row r="138" spans="2:7" x14ac:dyDescent="0.25">
      <c r="E138"/>
    </row>
    <row r="139" spans="2:7" x14ac:dyDescent="0.25">
      <c r="E139"/>
    </row>
    <row r="140" spans="2:7" x14ac:dyDescent="0.25">
      <c r="E140"/>
    </row>
    <row r="141" spans="2:7" x14ac:dyDescent="0.25">
      <c r="E141"/>
    </row>
    <row r="142" spans="2:7" x14ac:dyDescent="0.25">
      <c r="E142"/>
    </row>
    <row r="143" spans="2:7" x14ac:dyDescent="0.25">
      <c r="E143"/>
    </row>
    <row r="144" spans="2:7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7BC1-E699-4799-BDDD-291D312725C4}">
  <dimension ref="A1:G288"/>
  <sheetViews>
    <sheetView topLeftCell="A76" zoomScaleNormal="100" workbookViewId="0">
      <selection activeCell="D49" sqref="D49:G53"/>
    </sheetView>
  </sheetViews>
  <sheetFormatPr defaultRowHeight="15" x14ac:dyDescent="0.25"/>
  <cols>
    <col min="1" max="1" width="24.7109375" customWidth="1"/>
    <col min="2" max="2" width="28.5703125" customWidth="1"/>
    <col min="3" max="3" width="39.85546875" customWidth="1"/>
    <col min="4" max="4" width="42.140625" customWidth="1"/>
    <col min="5" max="5" width="36.42578125" style="22" customWidth="1"/>
    <col min="6" max="6" width="20.42578125" customWidth="1"/>
    <col min="7" max="7" width="32.42578125" style="22" customWidth="1"/>
    <col min="8" max="8" width="6.5703125" bestFit="1" customWidth="1"/>
    <col min="9" max="9" width="15" bestFit="1" customWidth="1"/>
    <col min="10" max="10" width="31.7109375" bestFit="1" customWidth="1"/>
    <col min="11" max="11" width="32.140625" bestFit="1" customWidth="1"/>
    <col min="12" max="12" width="39.85546875" bestFit="1" customWidth="1"/>
    <col min="13" max="13" width="23.140625" bestFit="1" customWidth="1"/>
    <col min="14" max="14" width="30.7109375" bestFit="1" customWidth="1"/>
    <col min="15" max="15" width="26.7109375" bestFit="1" customWidth="1"/>
    <col min="16" max="16" width="24.7109375" bestFit="1" customWidth="1"/>
    <col min="17" max="17" width="27.5703125" bestFit="1" customWidth="1"/>
    <col min="18" max="18" width="19.140625" bestFit="1" customWidth="1"/>
    <col min="19" max="19" width="7.42578125" bestFit="1" customWidth="1"/>
    <col min="20" max="20" width="36.42578125" bestFit="1" customWidth="1"/>
    <col min="21" max="21" width="9.5703125" bestFit="1" customWidth="1"/>
    <col min="22" max="22" width="10" bestFit="1" customWidth="1"/>
    <col min="23" max="23" width="20.85546875" bestFit="1" customWidth="1"/>
    <col min="24" max="24" width="17.28515625" bestFit="1" customWidth="1"/>
    <col min="25" max="25" width="22.140625" bestFit="1" customWidth="1"/>
    <col min="26" max="26" width="9.28515625" bestFit="1" customWidth="1"/>
    <col min="27" max="27" width="6.5703125" bestFit="1" customWidth="1"/>
    <col min="28" max="28" width="36.7109375" bestFit="1" customWidth="1"/>
    <col min="29" max="29" width="8.42578125" bestFit="1" customWidth="1"/>
    <col min="30" max="30" width="11.85546875" bestFit="1" customWidth="1"/>
  </cols>
  <sheetData>
    <row r="1" spans="1:7" x14ac:dyDescent="0.25">
      <c r="A1" s="21" t="s">
        <v>219</v>
      </c>
      <c r="B1" t="s">
        <v>220</v>
      </c>
    </row>
    <row r="2" spans="1:7" x14ac:dyDescent="0.25">
      <c r="E2"/>
      <c r="G2"/>
    </row>
    <row r="3" spans="1:7" x14ac:dyDescent="0.25">
      <c r="A3" s="21" t="s">
        <v>6</v>
      </c>
      <c r="B3" s="21" t="s">
        <v>5</v>
      </c>
      <c r="C3" s="21" t="s">
        <v>4</v>
      </c>
      <c r="D3" s="21" t="s">
        <v>60</v>
      </c>
      <c r="E3" s="21" t="s">
        <v>63</v>
      </c>
      <c r="F3" s="21" t="s">
        <v>7</v>
      </c>
      <c r="G3" s="23" t="s">
        <v>8</v>
      </c>
    </row>
    <row r="4" spans="1:7" x14ac:dyDescent="0.25">
      <c r="A4" t="s">
        <v>19</v>
      </c>
      <c r="B4" t="s">
        <v>18</v>
      </c>
      <c r="C4" t="s">
        <v>17</v>
      </c>
      <c r="D4" t="s">
        <v>70</v>
      </c>
      <c r="E4" t="s">
        <v>105</v>
      </c>
      <c r="F4" t="s">
        <v>11</v>
      </c>
      <c r="G4" s="22">
        <v>40</v>
      </c>
    </row>
    <row r="5" spans="1:7" x14ac:dyDescent="0.25">
      <c r="E5" t="s">
        <v>100</v>
      </c>
      <c r="F5" t="s">
        <v>11</v>
      </c>
      <c r="G5" s="22">
        <v>40</v>
      </c>
    </row>
    <row r="6" spans="1:7" x14ac:dyDescent="0.25">
      <c r="E6" t="s">
        <v>71</v>
      </c>
      <c r="F6" t="s">
        <v>11</v>
      </c>
      <c r="G6" s="22">
        <v>40</v>
      </c>
    </row>
    <row r="7" spans="1:7" x14ac:dyDescent="0.25">
      <c r="A7" t="s">
        <v>92</v>
      </c>
      <c r="B7" t="s">
        <v>91</v>
      </c>
      <c r="C7" t="s">
        <v>90</v>
      </c>
      <c r="D7" t="s">
        <v>70</v>
      </c>
      <c r="E7" t="s">
        <v>105</v>
      </c>
      <c r="F7" t="s">
        <v>93</v>
      </c>
      <c r="G7" s="22" t="s">
        <v>94</v>
      </c>
    </row>
    <row r="8" spans="1:7" x14ac:dyDescent="0.25">
      <c r="E8" t="s">
        <v>100</v>
      </c>
      <c r="F8" t="s">
        <v>93</v>
      </c>
      <c r="G8" s="22" t="s">
        <v>94</v>
      </c>
    </row>
    <row r="9" spans="1:7" x14ac:dyDescent="0.25">
      <c r="E9" t="s">
        <v>71</v>
      </c>
      <c r="F9" t="s">
        <v>93</v>
      </c>
      <c r="G9" s="22" t="s">
        <v>94</v>
      </c>
    </row>
    <row r="10" spans="1:7" x14ac:dyDescent="0.25">
      <c r="A10" t="s">
        <v>27</v>
      </c>
      <c r="B10" t="s">
        <v>26</v>
      </c>
      <c r="C10" t="s">
        <v>22</v>
      </c>
      <c r="D10" t="s">
        <v>61</v>
      </c>
      <c r="E10" t="s">
        <v>62</v>
      </c>
      <c r="F10" t="s">
        <v>10</v>
      </c>
      <c r="G10" s="22" t="s">
        <v>28</v>
      </c>
    </row>
    <row r="11" spans="1:7" x14ac:dyDescent="0.25">
      <c r="A11" t="s">
        <v>124</v>
      </c>
      <c r="B11" t="s">
        <v>123</v>
      </c>
      <c r="C11" t="s">
        <v>17</v>
      </c>
      <c r="D11" t="s">
        <v>118</v>
      </c>
      <c r="E11" t="s">
        <v>119</v>
      </c>
      <c r="F11" t="s">
        <v>11</v>
      </c>
      <c r="G11" s="22">
        <v>300</v>
      </c>
    </row>
    <row r="12" spans="1:7" x14ac:dyDescent="0.25">
      <c r="A12" t="s">
        <v>30</v>
      </c>
      <c r="B12" t="s">
        <v>29</v>
      </c>
      <c r="C12" t="s">
        <v>90</v>
      </c>
      <c r="D12" t="s">
        <v>61</v>
      </c>
      <c r="E12" t="s">
        <v>62</v>
      </c>
      <c r="F12" t="s">
        <v>10</v>
      </c>
      <c r="G12" s="22" t="s">
        <v>31</v>
      </c>
    </row>
    <row r="13" spans="1:7" x14ac:dyDescent="0.25">
      <c r="A13" t="s">
        <v>96</v>
      </c>
      <c r="B13" t="s">
        <v>95</v>
      </c>
      <c r="C13" t="s">
        <v>90</v>
      </c>
      <c r="D13" t="s">
        <v>70</v>
      </c>
      <c r="E13" t="s">
        <v>105</v>
      </c>
      <c r="F13" t="s">
        <v>93</v>
      </c>
      <c r="G13" s="22" t="s">
        <v>94</v>
      </c>
    </row>
    <row r="14" spans="1:7" x14ac:dyDescent="0.25">
      <c r="E14" t="s">
        <v>100</v>
      </c>
      <c r="F14" t="s">
        <v>93</v>
      </c>
      <c r="G14" s="22" t="s">
        <v>94</v>
      </c>
    </row>
    <row r="15" spans="1:7" x14ac:dyDescent="0.25">
      <c r="E15" t="s">
        <v>71</v>
      </c>
      <c r="F15" t="s">
        <v>93</v>
      </c>
      <c r="G15" s="22" t="s">
        <v>94</v>
      </c>
    </row>
    <row r="16" spans="1:7" x14ac:dyDescent="0.25">
      <c r="A16" t="s">
        <v>87</v>
      </c>
      <c r="B16" t="s">
        <v>86</v>
      </c>
      <c r="C16" t="s">
        <v>79</v>
      </c>
      <c r="D16" t="s">
        <v>70</v>
      </c>
      <c r="E16" t="s">
        <v>71</v>
      </c>
      <c r="F16" t="s">
        <v>10</v>
      </c>
      <c r="G16" s="22">
        <v>12</v>
      </c>
    </row>
    <row r="17" spans="1:7" x14ac:dyDescent="0.25">
      <c r="A17" t="s">
        <v>84</v>
      </c>
      <c r="B17" t="s">
        <v>83</v>
      </c>
      <c r="C17" t="s">
        <v>79</v>
      </c>
      <c r="D17" t="s">
        <v>70</v>
      </c>
      <c r="E17" t="s">
        <v>71</v>
      </c>
      <c r="F17" t="s">
        <v>10</v>
      </c>
      <c r="G17" s="22" t="s">
        <v>85</v>
      </c>
    </row>
    <row r="18" spans="1:7" x14ac:dyDescent="0.25">
      <c r="A18" t="s">
        <v>44</v>
      </c>
      <c r="B18" t="s">
        <v>43</v>
      </c>
      <c r="C18" t="s">
        <v>17</v>
      </c>
      <c r="D18" t="s">
        <v>118</v>
      </c>
      <c r="E18" t="s">
        <v>119</v>
      </c>
      <c r="F18" t="s">
        <v>11</v>
      </c>
      <c r="G18" s="22">
        <v>600</v>
      </c>
    </row>
    <row r="19" spans="1:7" x14ac:dyDescent="0.25">
      <c r="D19" t="s">
        <v>164</v>
      </c>
      <c r="E19" t="s">
        <v>165</v>
      </c>
      <c r="F19" t="s">
        <v>11</v>
      </c>
      <c r="G19" s="22">
        <v>2100</v>
      </c>
    </row>
    <row r="20" spans="1:7" x14ac:dyDescent="0.25">
      <c r="D20" t="s">
        <v>109</v>
      </c>
      <c r="E20" t="s">
        <v>110</v>
      </c>
      <c r="F20" t="s">
        <v>11</v>
      </c>
      <c r="G20" s="22">
        <v>3300</v>
      </c>
    </row>
    <row r="21" spans="1:7" x14ac:dyDescent="0.25">
      <c r="D21" t="s">
        <v>148</v>
      </c>
      <c r="E21" t="s">
        <v>149</v>
      </c>
      <c r="F21" t="s">
        <v>11</v>
      </c>
      <c r="G21" s="22">
        <v>2100</v>
      </c>
    </row>
    <row r="22" spans="1:7" x14ac:dyDescent="0.25">
      <c r="A22" t="s">
        <v>49</v>
      </c>
      <c r="B22" t="s">
        <v>48</v>
      </c>
      <c r="C22" t="s">
        <v>17</v>
      </c>
      <c r="D22" t="s">
        <v>109</v>
      </c>
      <c r="E22" t="s">
        <v>110</v>
      </c>
      <c r="F22" t="s">
        <v>11</v>
      </c>
      <c r="G22" s="22">
        <v>2100</v>
      </c>
    </row>
    <row r="23" spans="1:7" x14ac:dyDescent="0.25">
      <c r="A23" t="s">
        <v>35</v>
      </c>
      <c r="B23" t="s">
        <v>34</v>
      </c>
      <c r="C23" t="s">
        <v>69</v>
      </c>
      <c r="D23" t="s">
        <v>66</v>
      </c>
      <c r="E23" t="s">
        <v>67</v>
      </c>
      <c r="F23" t="s">
        <v>10</v>
      </c>
      <c r="G23" s="22" t="s">
        <v>36</v>
      </c>
    </row>
    <row r="24" spans="1:7" x14ac:dyDescent="0.25">
      <c r="D24" t="s">
        <v>118</v>
      </c>
      <c r="E24" t="s">
        <v>119</v>
      </c>
      <c r="F24" t="s">
        <v>10</v>
      </c>
      <c r="G24" s="22" t="s">
        <v>121</v>
      </c>
    </row>
    <row r="25" spans="1:7" x14ac:dyDescent="0.25">
      <c r="D25" t="s">
        <v>172</v>
      </c>
      <c r="E25" t="s">
        <v>173</v>
      </c>
      <c r="F25" t="s">
        <v>10</v>
      </c>
      <c r="G25" s="22" t="s">
        <v>174</v>
      </c>
    </row>
    <row r="26" spans="1:7" x14ac:dyDescent="0.25">
      <c r="D26" t="s">
        <v>164</v>
      </c>
      <c r="E26" t="s">
        <v>165</v>
      </c>
      <c r="F26" t="s">
        <v>10</v>
      </c>
      <c r="G26" s="22" t="s">
        <v>167</v>
      </c>
    </row>
    <row r="27" spans="1:7" x14ac:dyDescent="0.25">
      <c r="D27" t="s">
        <v>180</v>
      </c>
      <c r="E27" t="s">
        <v>181</v>
      </c>
      <c r="F27" t="s">
        <v>10</v>
      </c>
      <c r="G27" s="22" t="s">
        <v>183</v>
      </c>
    </row>
    <row r="28" spans="1:7" x14ac:dyDescent="0.25">
      <c r="D28" t="s">
        <v>191</v>
      </c>
      <c r="E28" t="s">
        <v>192</v>
      </c>
      <c r="F28" t="s">
        <v>10</v>
      </c>
      <c r="G28" s="22" t="s">
        <v>193</v>
      </c>
    </row>
    <row r="29" spans="1:7" x14ac:dyDescent="0.25">
      <c r="D29" t="s">
        <v>132</v>
      </c>
      <c r="E29" t="s">
        <v>133</v>
      </c>
      <c r="F29" t="s">
        <v>10</v>
      </c>
      <c r="G29" s="22" t="s">
        <v>135</v>
      </c>
    </row>
    <row r="30" spans="1:7" x14ac:dyDescent="0.25">
      <c r="D30" t="s">
        <v>142</v>
      </c>
      <c r="E30" t="s">
        <v>143</v>
      </c>
      <c r="F30" t="s">
        <v>10</v>
      </c>
      <c r="G30" s="22" t="s">
        <v>145</v>
      </c>
    </row>
    <row r="31" spans="1:7" x14ac:dyDescent="0.25">
      <c r="D31" t="s">
        <v>127</v>
      </c>
      <c r="E31" t="s">
        <v>126</v>
      </c>
      <c r="F31" t="s">
        <v>10</v>
      </c>
      <c r="G31" s="22" t="s">
        <v>129</v>
      </c>
    </row>
    <row r="32" spans="1:7" x14ac:dyDescent="0.25">
      <c r="D32" t="s">
        <v>109</v>
      </c>
      <c r="E32" t="s">
        <v>110</v>
      </c>
      <c r="F32" t="s">
        <v>10</v>
      </c>
      <c r="G32" s="22" t="s">
        <v>112</v>
      </c>
    </row>
    <row r="33" spans="1:7" x14ac:dyDescent="0.25">
      <c r="D33" t="s">
        <v>148</v>
      </c>
      <c r="E33" t="s">
        <v>149</v>
      </c>
      <c r="F33" t="s">
        <v>10</v>
      </c>
      <c r="G33" s="22" t="s">
        <v>151</v>
      </c>
    </row>
    <row r="34" spans="1:7" x14ac:dyDescent="0.25">
      <c r="A34" t="s">
        <v>39</v>
      </c>
      <c r="B34" t="s">
        <v>38</v>
      </c>
      <c r="C34" t="s">
        <v>69</v>
      </c>
      <c r="D34" t="s">
        <v>66</v>
      </c>
      <c r="E34" t="s">
        <v>67</v>
      </c>
      <c r="F34" t="s">
        <v>10</v>
      </c>
      <c r="G34" s="22" t="s">
        <v>40</v>
      </c>
    </row>
    <row r="35" spans="1:7" x14ac:dyDescent="0.25">
      <c r="D35" t="s">
        <v>118</v>
      </c>
      <c r="E35" t="s">
        <v>119</v>
      </c>
      <c r="F35" t="s">
        <v>10</v>
      </c>
      <c r="G35" s="22" t="s">
        <v>122</v>
      </c>
    </row>
    <row r="36" spans="1:7" x14ac:dyDescent="0.25">
      <c r="D36" t="s">
        <v>172</v>
      </c>
      <c r="E36" t="s">
        <v>173</v>
      </c>
      <c r="F36" t="s">
        <v>10</v>
      </c>
      <c r="G36" s="22" t="s">
        <v>178</v>
      </c>
    </row>
    <row r="37" spans="1:7" x14ac:dyDescent="0.25">
      <c r="D37" t="s">
        <v>164</v>
      </c>
      <c r="E37" t="s">
        <v>165</v>
      </c>
      <c r="F37" t="s">
        <v>10</v>
      </c>
      <c r="G37" s="22" t="s">
        <v>169</v>
      </c>
    </row>
    <row r="38" spans="1:7" x14ac:dyDescent="0.25">
      <c r="D38" t="s">
        <v>191</v>
      </c>
      <c r="E38" t="s">
        <v>192</v>
      </c>
      <c r="F38" t="s">
        <v>10</v>
      </c>
      <c r="G38" s="22" t="s">
        <v>195</v>
      </c>
    </row>
    <row r="39" spans="1:7" x14ac:dyDescent="0.25">
      <c r="D39" t="s">
        <v>132</v>
      </c>
      <c r="E39" t="s">
        <v>133</v>
      </c>
      <c r="F39" t="s">
        <v>10</v>
      </c>
      <c r="G39" s="22" t="s">
        <v>137</v>
      </c>
    </row>
    <row r="40" spans="1:7" x14ac:dyDescent="0.25">
      <c r="D40" t="s">
        <v>142</v>
      </c>
      <c r="E40" t="s">
        <v>143</v>
      </c>
      <c r="F40" t="s">
        <v>10</v>
      </c>
      <c r="G40" s="22" t="s">
        <v>143</v>
      </c>
    </row>
    <row r="41" spans="1:7" x14ac:dyDescent="0.25">
      <c r="D41" t="s">
        <v>127</v>
      </c>
      <c r="E41" t="s">
        <v>126</v>
      </c>
      <c r="F41" t="s">
        <v>10</v>
      </c>
      <c r="G41" s="22" t="s">
        <v>126</v>
      </c>
    </row>
    <row r="42" spans="1:7" x14ac:dyDescent="0.25">
      <c r="D42" t="s">
        <v>109</v>
      </c>
      <c r="E42" t="s">
        <v>110</v>
      </c>
      <c r="F42" t="s">
        <v>10</v>
      </c>
      <c r="G42" s="22" t="s">
        <v>113</v>
      </c>
    </row>
    <row r="43" spans="1:7" x14ac:dyDescent="0.25">
      <c r="D43" t="s">
        <v>148</v>
      </c>
      <c r="E43" t="s">
        <v>149</v>
      </c>
      <c r="F43" t="s">
        <v>10</v>
      </c>
      <c r="G43" s="22" t="s">
        <v>155</v>
      </c>
    </row>
    <row r="44" spans="1:7" x14ac:dyDescent="0.25">
      <c r="A44" t="s">
        <v>153</v>
      </c>
      <c r="B44" t="s">
        <v>152</v>
      </c>
      <c r="C44" t="s">
        <v>69</v>
      </c>
      <c r="D44" t="s">
        <v>172</v>
      </c>
      <c r="E44" t="s">
        <v>173</v>
      </c>
      <c r="F44" t="s">
        <v>10</v>
      </c>
      <c r="G44" s="22" t="s">
        <v>175</v>
      </c>
    </row>
    <row r="45" spans="1:7" x14ac:dyDescent="0.25">
      <c r="D45" t="s">
        <v>164</v>
      </c>
      <c r="E45" t="s">
        <v>165</v>
      </c>
      <c r="F45" t="s">
        <v>10</v>
      </c>
      <c r="G45" s="22" t="s">
        <v>154</v>
      </c>
    </row>
    <row r="46" spans="1:7" x14ac:dyDescent="0.25">
      <c r="D46" t="s">
        <v>180</v>
      </c>
      <c r="E46" t="s">
        <v>181</v>
      </c>
      <c r="F46" t="s">
        <v>10</v>
      </c>
      <c r="G46" s="22" t="s">
        <v>184</v>
      </c>
    </row>
    <row r="47" spans="1:7" x14ac:dyDescent="0.25">
      <c r="D47" t="s">
        <v>191</v>
      </c>
      <c r="E47" t="s">
        <v>192</v>
      </c>
      <c r="F47" t="s">
        <v>10</v>
      </c>
      <c r="G47" s="22" t="s">
        <v>184</v>
      </c>
    </row>
    <row r="48" spans="1:7" x14ac:dyDescent="0.25">
      <c r="D48" t="s">
        <v>148</v>
      </c>
      <c r="E48" t="s">
        <v>149</v>
      </c>
      <c r="F48" t="s">
        <v>10</v>
      </c>
      <c r="G48" s="22" t="s">
        <v>154</v>
      </c>
    </row>
    <row r="49" spans="1:7" x14ac:dyDescent="0.25">
      <c r="A49" t="s">
        <v>157</v>
      </c>
      <c r="B49" t="s">
        <v>156</v>
      </c>
      <c r="C49" t="s">
        <v>69</v>
      </c>
      <c r="D49" t="s">
        <v>172</v>
      </c>
      <c r="E49" t="s">
        <v>173</v>
      </c>
      <c r="F49" t="s">
        <v>10</v>
      </c>
      <c r="G49" s="22" t="s">
        <v>177</v>
      </c>
    </row>
    <row r="50" spans="1:7" x14ac:dyDescent="0.25">
      <c r="D50" t="s">
        <v>164</v>
      </c>
      <c r="E50" t="s">
        <v>165</v>
      </c>
      <c r="F50" t="s">
        <v>10</v>
      </c>
      <c r="G50" s="22" t="s">
        <v>158</v>
      </c>
    </row>
    <row r="51" spans="1:7" x14ac:dyDescent="0.25">
      <c r="D51" t="s">
        <v>180</v>
      </c>
      <c r="E51" t="s">
        <v>181</v>
      </c>
      <c r="F51" t="s">
        <v>10</v>
      </c>
      <c r="G51" s="22" t="s">
        <v>186</v>
      </c>
    </row>
    <row r="52" spans="1:7" x14ac:dyDescent="0.25">
      <c r="D52" t="s">
        <v>191</v>
      </c>
      <c r="E52" t="s">
        <v>192</v>
      </c>
      <c r="F52" t="s">
        <v>10</v>
      </c>
      <c r="G52" s="22" t="s">
        <v>186</v>
      </c>
    </row>
    <row r="53" spans="1:7" x14ac:dyDescent="0.25">
      <c r="D53" t="s">
        <v>148</v>
      </c>
      <c r="E53" t="s">
        <v>149</v>
      </c>
      <c r="F53" t="s">
        <v>10</v>
      </c>
      <c r="G53" s="22" t="s">
        <v>158</v>
      </c>
    </row>
    <row r="54" spans="1:7" x14ac:dyDescent="0.25">
      <c r="A54" t="s">
        <v>74</v>
      </c>
      <c r="B54" t="s">
        <v>101</v>
      </c>
      <c r="C54" t="s">
        <v>69</v>
      </c>
      <c r="D54" t="s">
        <v>70</v>
      </c>
      <c r="E54" t="s">
        <v>105</v>
      </c>
      <c r="F54" t="s">
        <v>10</v>
      </c>
      <c r="G54" s="22" t="s">
        <v>106</v>
      </c>
    </row>
    <row r="55" spans="1:7" x14ac:dyDescent="0.25">
      <c r="E55" t="s">
        <v>100</v>
      </c>
      <c r="F55" t="s">
        <v>10</v>
      </c>
      <c r="G55" s="22" t="s">
        <v>15</v>
      </c>
    </row>
    <row r="56" spans="1:7" x14ac:dyDescent="0.25">
      <c r="E56" t="s">
        <v>71</v>
      </c>
      <c r="F56" t="s">
        <v>10</v>
      </c>
      <c r="G56" s="22" t="s">
        <v>75</v>
      </c>
    </row>
    <row r="57" spans="1:7" x14ac:dyDescent="0.25">
      <c r="A57" t="s">
        <v>77</v>
      </c>
      <c r="B57" t="s">
        <v>73</v>
      </c>
      <c r="C57" t="s">
        <v>69</v>
      </c>
      <c r="D57" t="s">
        <v>70</v>
      </c>
      <c r="E57" t="s">
        <v>105</v>
      </c>
      <c r="F57" t="s">
        <v>10</v>
      </c>
      <c r="G57" s="22" t="s">
        <v>107</v>
      </c>
    </row>
    <row r="58" spans="1:7" x14ac:dyDescent="0.25">
      <c r="E58" t="s">
        <v>100</v>
      </c>
      <c r="F58" t="s">
        <v>10</v>
      </c>
      <c r="G58" s="22" t="s">
        <v>15</v>
      </c>
    </row>
    <row r="59" spans="1:7" x14ac:dyDescent="0.25">
      <c r="E59" t="s">
        <v>71</v>
      </c>
      <c r="F59" t="s">
        <v>10</v>
      </c>
      <c r="G59" s="22" t="s">
        <v>76</v>
      </c>
    </row>
    <row r="60" spans="1:7" x14ac:dyDescent="0.25">
      <c r="A60" t="s">
        <v>14</v>
      </c>
      <c r="B60" t="s">
        <v>13</v>
      </c>
      <c r="C60" t="s">
        <v>69</v>
      </c>
      <c r="D60" t="s">
        <v>66</v>
      </c>
      <c r="E60" t="s">
        <v>67</v>
      </c>
      <c r="F60" t="s">
        <v>10</v>
      </c>
      <c r="G60" s="22" t="s">
        <v>37</v>
      </c>
    </row>
    <row r="61" spans="1:7" x14ac:dyDescent="0.25">
      <c r="D61" t="s">
        <v>118</v>
      </c>
      <c r="E61" t="s">
        <v>119</v>
      </c>
      <c r="F61" t="s">
        <v>10</v>
      </c>
      <c r="G61" s="22" t="s">
        <v>122</v>
      </c>
    </row>
    <row r="62" spans="1:7" x14ac:dyDescent="0.25">
      <c r="D62" t="s">
        <v>172</v>
      </c>
      <c r="E62" t="s">
        <v>173</v>
      </c>
      <c r="F62" t="s">
        <v>10</v>
      </c>
      <c r="G62" s="22" t="s">
        <v>176</v>
      </c>
    </row>
    <row r="63" spans="1:7" x14ac:dyDescent="0.25">
      <c r="D63" t="s">
        <v>164</v>
      </c>
      <c r="E63" t="s">
        <v>165</v>
      </c>
      <c r="F63" t="s">
        <v>10</v>
      </c>
      <c r="G63" s="22" t="s">
        <v>168</v>
      </c>
    </row>
    <row r="64" spans="1:7" x14ac:dyDescent="0.25">
      <c r="D64" t="s">
        <v>180</v>
      </c>
      <c r="E64" t="s">
        <v>181</v>
      </c>
      <c r="F64" t="s">
        <v>10</v>
      </c>
      <c r="G64" s="22" t="s">
        <v>185</v>
      </c>
    </row>
    <row r="65" spans="1:7" x14ac:dyDescent="0.25">
      <c r="D65" t="s">
        <v>191</v>
      </c>
      <c r="E65" t="s">
        <v>192</v>
      </c>
      <c r="F65" t="s">
        <v>10</v>
      </c>
      <c r="G65" s="22" t="s">
        <v>194</v>
      </c>
    </row>
    <row r="66" spans="1:7" x14ac:dyDescent="0.25">
      <c r="D66" t="s">
        <v>132</v>
      </c>
      <c r="E66" t="s">
        <v>133</v>
      </c>
      <c r="F66" t="s">
        <v>10</v>
      </c>
      <c r="G66" s="22" t="s">
        <v>136</v>
      </c>
    </row>
    <row r="67" spans="1:7" x14ac:dyDescent="0.25">
      <c r="D67" t="s">
        <v>142</v>
      </c>
      <c r="E67" t="s">
        <v>143</v>
      </c>
      <c r="F67" t="s">
        <v>10</v>
      </c>
      <c r="G67" s="22" t="s">
        <v>146</v>
      </c>
    </row>
    <row r="68" spans="1:7" x14ac:dyDescent="0.25">
      <c r="D68" t="s">
        <v>70</v>
      </c>
      <c r="E68" t="s">
        <v>105</v>
      </c>
      <c r="F68" t="s">
        <v>10</v>
      </c>
      <c r="G68" s="22" t="s">
        <v>107</v>
      </c>
    </row>
    <row r="69" spans="1:7" x14ac:dyDescent="0.25">
      <c r="E69" t="s">
        <v>100</v>
      </c>
      <c r="F69" t="s">
        <v>10</v>
      </c>
      <c r="G69" s="22" t="s">
        <v>102</v>
      </c>
    </row>
    <row r="70" spans="1:7" x14ac:dyDescent="0.25">
      <c r="E70" t="s">
        <v>71</v>
      </c>
      <c r="F70" t="s">
        <v>10</v>
      </c>
      <c r="G70" s="22" t="s">
        <v>76</v>
      </c>
    </row>
    <row r="71" spans="1:7" x14ac:dyDescent="0.25">
      <c r="D71" t="s">
        <v>127</v>
      </c>
      <c r="E71" t="s">
        <v>126</v>
      </c>
      <c r="F71" t="s">
        <v>10</v>
      </c>
      <c r="G71" s="22" t="s">
        <v>130</v>
      </c>
    </row>
    <row r="72" spans="1:7" x14ac:dyDescent="0.25">
      <c r="D72" t="s">
        <v>109</v>
      </c>
      <c r="E72" t="s">
        <v>110</v>
      </c>
      <c r="F72" t="s">
        <v>10</v>
      </c>
      <c r="G72" s="22" t="s">
        <v>113</v>
      </c>
    </row>
    <row r="73" spans="1:7" x14ac:dyDescent="0.25">
      <c r="D73" t="s">
        <v>148</v>
      </c>
      <c r="E73" t="s">
        <v>149</v>
      </c>
      <c r="F73" t="s">
        <v>10</v>
      </c>
      <c r="G73" s="22" t="s">
        <v>155</v>
      </c>
    </row>
    <row r="74" spans="1:7" x14ac:dyDescent="0.25">
      <c r="A74" t="s">
        <v>89</v>
      </c>
      <c r="B74" t="s">
        <v>88</v>
      </c>
      <c r="C74" t="s">
        <v>79</v>
      </c>
      <c r="D74" t="s">
        <v>70</v>
      </c>
      <c r="E74" t="s">
        <v>71</v>
      </c>
      <c r="F74" t="s">
        <v>10</v>
      </c>
      <c r="G74" s="22">
        <v>1</v>
      </c>
    </row>
    <row r="75" spans="1:7" x14ac:dyDescent="0.25">
      <c r="A75" t="s">
        <v>53</v>
      </c>
      <c r="B75" t="s">
        <v>52</v>
      </c>
      <c r="C75" t="s">
        <v>51</v>
      </c>
      <c r="D75" t="s">
        <v>66</v>
      </c>
      <c r="E75" t="s">
        <v>67</v>
      </c>
      <c r="F75" t="s">
        <v>10</v>
      </c>
      <c r="G75" s="22" t="s">
        <v>54</v>
      </c>
    </row>
    <row r="76" spans="1:7" x14ac:dyDescent="0.25">
      <c r="D76" t="s">
        <v>118</v>
      </c>
      <c r="E76" t="s">
        <v>119</v>
      </c>
      <c r="F76" t="s">
        <v>10</v>
      </c>
      <c r="G76" s="22" t="s">
        <v>54</v>
      </c>
    </row>
    <row r="77" spans="1:7" x14ac:dyDescent="0.25">
      <c r="D77" t="s">
        <v>172</v>
      </c>
      <c r="E77" t="s">
        <v>173</v>
      </c>
      <c r="F77" t="s">
        <v>10</v>
      </c>
      <c r="G77" s="22" t="s">
        <v>54</v>
      </c>
    </row>
    <row r="78" spans="1:7" x14ac:dyDescent="0.25">
      <c r="D78" t="s">
        <v>164</v>
      </c>
      <c r="E78" t="s">
        <v>165</v>
      </c>
      <c r="F78" t="s">
        <v>10</v>
      </c>
      <c r="G78" s="22" t="s">
        <v>54</v>
      </c>
    </row>
    <row r="79" spans="1:7" x14ac:dyDescent="0.25">
      <c r="D79" t="s">
        <v>180</v>
      </c>
      <c r="E79" t="s">
        <v>181</v>
      </c>
      <c r="F79" t="s">
        <v>10</v>
      </c>
      <c r="G79" s="22" t="s">
        <v>54</v>
      </c>
    </row>
    <row r="80" spans="1:7" x14ac:dyDescent="0.25">
      <c r="D80" t="s">
        <v>191</v>
      </c>
      <c r="E80" t="s">
        <v>192</v>
      </c>
      <c r="F80" t="s">
        <v>10</v>
      </c>
      <c r="G80" s="22" t="s">
        <v>54</v>
      </c>
    </row>
    <row r="81" spans="1:7" x14ac:dyDescent="0.25">
      <c r="D81" t="s">
        <v>132</v>
      </c>
      <c r="E81" t="s">
        <v>133</v>
      </c>
      <c r="F81" t="s">
        <v>10</v>
      </c>
      <c r="G81" s="22" t="s">
        <v>54</v>
      </c>
    </row>
    <row r="82" spans="1:7" x14ac:dyDescent="0.25">
      <c r="D82" t="s">
        <v>142</v>
      </c>
      <c r="E82" t="s">
        <v>143</v>
      </c>
      <c r="F82" t="s">
        <v>10</v>
      </c>
      <c r="G82" s="22" t="s">
        <v>54</v>
      </c>
    </row>
    <row r="83" spans="1:7" x14ac:dyDescent="0.25">
      <c r="D83" t="s">
        <v>70</v>
      </c>
      <c r="E83" t="s">
        <v>105</v>
      </c>
      <c r="F83" t="s">
        <v>10</v>
      </c>
      <c r="G83" s="22" t="s">
        <v>54</v>
      </c>
    </row>
    <row r="84" spans="1:7" x14ac:dyDescent="0.25">
      <c r="E84" t="s">
        <v>100</v>
      </c>
      <c r="F84" t="s">
        <v>10</v>
      </c>
      <c r="G84" s="22" t="s">
        <v>54</v>
      </c>
    </row>
    <row r="85" spans="1:7" x14ac:dyDescent="0.25">
      <c r="E85" t="s">
        <v>71</v>
      </c>
      <c r="F85" t="s">
        <v>10</v>
      </c>
      <c r="G85" s="22" t="s">
        <v>54</v>
      </c>
    </row>
    <row r="86" spans="1:7" x14ac:dyDescent="0.25">
      <c r="D86" t="s">
        <v>127</v>
      </c>
      <c r="E86" t="s">
        <v>126</v>
      </c>
      <c r="F86" t="s">
        <v>10</v>
      </c>
      <c r="G86" s="22" t="s">
        <v>54</v>
      </c>
    </row>
    <row r="87" spans="1:7" x14ac:dyDescent="0.25">
      <c r="D87" t="s">
        <v>109</v>
      </c>
      <c r="E87" t="s">
        <v>110</v>
      </c>
      <c r="F87" t="s">
        <v>10</v>
      </c>
      <c r="G87" s="22" t="s">
        <v>54</v>
      </c>
    </row>
    <row r="88" spans="1:7" x14ac:dyDescent="0.25">
      <c r="D88" t="s">
        <v>148</v>
      </c>
      <c r="E88" t="s">
        <v>149</v>
      </c>
      <c r="F88" t="s">
        <v>10</v>
      </c>
      <c r="G88" s="22" t="s">
        <v>54</v>
      </c>
    </row>
    <row r="89" spans="1:7" x14ac:dyDescent="0.25">
      <c r="A89" t="s">
        <v>56</v>
      </c>
      <c r="B89" t="s">
        <v>55</v>
      </c>
      <c r="C89" t="s">
        <v>51</v>
      </c>
      <c r="D89" t="s">
        <v>66</v>
      </c>
      <c r="E89" t="s">
        <v>67</v>
      </c>
      <c r="F89" t="s">
        <v>10</v>
      </c>
      <c r="G89" s="22" t="s">
        <v>57</v>
      </c>
    </row>
    <row r="90" spans="1:7" x14ac:dyDescent="0.25">
      <c r="D90" t="s">
        <v>118</v>
      </c>
      <c r="E90" t="s">
        <v>119</v>
      </c>
      <c r="F90" t="s">
        <v>10</v>
      </c>
      <c r="G90" s="22" t="s">
        <v>57</v>
      </c>
    </row>
    <row r="91" spans="1:7" x14ac:dyDescent="0.25">
      <c r="D91" t="s">
        <v>172</v>
      </c>
      <c r="E91" t="s">
        <v>173</v>
      </c>
      <c r="F91" t="s">
        <v>10</v>
      </c>
      <c r="G91" s="22" t="s">
        <v>57</v>
      </c>
    </row>
    <row r="92" spans="1:7" x14ac:dyDescent="0.25">
      <c r="D92" t="s">
        <v>164</v>
      </c>
      <c r="E92" t="s">
        <v>165</v>
      </c>
      <c r="F92" t="s">
        <v>10</v>
      </c>
      <c r="G92" s="22" t="s">
        <v>57</v>
      </c>
    </row>
    <row r="93" spans="1:7" x14ac:dyDescent="0.25">
      <c r="D93" t="s">
        <v>180</v>
      </c>
      <c r="E93" t="s">
        <v>181</v>
      </c>
      <c r="F93" t="s">
        <v>10</v>
      </c>
      <c r="G93" s="22" t="s">
        <v>57</v>
      </c>
    </row>
    <row r="94" spans="1:7" x14ac:dyDescent="0.25">
      <c r="D94" t="s">
        <v>191</v>
      </c>
      <c r="E94" t="s">
        <v>192</v>
      </c>
      <c r="F94" t="s">
        <v>10</v>
      </c>
      <c r="G94" s="22" t="s">
        <v>57</v>
      </c>
    </row>
    <row r="95" spans="1:7" x14ac:dyDescent="0.25">
      <c r="D95" t="s">
        <v>132</v>
      </c>
      <c r="E95" t="s">
        <v>133</v>
      </c>
      <c r="F95" t="s">
        <v>10</v>
      </c>
      <c r="G95" s="22" t="s">
        <v>57</v>
      </c>
    </row>
    <row r="96" spans="1:7" x14ac:dyDescent="0.25">
      <c r="D96" t="s">
        <v>142</v>
      </c>
      <c r="E96" t="s">
        <v>143</v>
      </c>
      <c r="F96" t="s">
        <v>10</v>
      </c>
      <c r="G96" s="22" t="s">
        <v>57</v>
      </c>
    </row>
    <row r="97" spans="1:7" x14ac:dyDescent="0.25">
      <c r="D97" t="s">
        <v>70</v>
      </c>
      <c r="E97" t="s">
        <v>105</v>
      </c>
      <c r="F97" t="s">
        <v>10</v>
      </c>
      <c r="G97" s="22" t="s">
        <v>57</v>
      </c>
    </row>
    <row r="98" spans="1:7" x14ac:dyDescent="0.25">
      <c r="E98" t="s">
        <v>100</v>
      </c>
      <c r="F98" t="s">
        <v>10</v>
      </c>
      <c r="G98" s="22" t="s">
        <v>57</v>
      </c>
    </row>
    <row r="99" spans="1:7" x14ac:dyDescent="0.25">
      <c r="E99" t="s">
        <v>71</v>
      </c>
      <c r="F99" t="s">
        <v>10</v>
      </c>
      <c r="G99" s="22" t="s">
        <v>57</v>
      </c>
    </row>
    <row r="100" spans="1:7" x14ac:dyDescent="0.25">
      <c r="D100" t="s">
        <v>127</v>
      </c>
      <c r="E100" t="s">
        <v>126</v>
      </c>
      <c r="F100" t="s">
        <v>10</v>
      </c>
      <c r="G100" s="22" t="s">
        <v>57</v>
      </c>
    </row>
    <row r="101" spans="1:7" x14ac:dyDescent="0.25">
      <c r="D101" t="s">
        <v>109</v>
      </c>
      <c r="E101" t="s">
        <v>110</v>
      </c>
      <c r="F101" t="s">
        <v>10</v>
      </c>
      <c r="G101" s="22" t="s">
        <v>57</v>
      </c>
    </row>
    <row r="102" spans="1:7" x14ac:dyDescent="0.25">
      <c r="D102" t="s">
        <v>148</v>
      </c>
      <c r="E102" t="s">
        <v>149</v>
      </c>
      <c r="F102" t="s">
        <v>10</v>
      </c>
      <c r="G102" s="22" t="s">
        <v>57</v>
      </c>
    </row>
    <row r="103" spans="1:7" x14ac:dyDescent="0.25">
      <c r="A103" t="s">
        <v>24</v>
      </c>
      <c r="B103" t="s">
        <v>23</v>
      </c>
      <c r="C103" t="s">
        <v>22</v>
      </c>
      <c r="D103" t="s">
        <v>61</v>
      </c>
      <c r="E103" t="s">
        <v>62</v>
      </c>
      <c r="F103" t="s">
        <v>10</v>
      </c>
      <c r="G103" s="22" t="s">
        <v>25</v>
      </c>
    </row>
    <row r="104" spans="1:7" x14ac:dyDescent="0.25">
      <c r="A104" t="s">
        <v>103</v>
      </c>
      <c r="B104" t="s">
        <v>82</v>
      </c>
      <c r="C104" t="s">
        <v>90</v>
      </c>
      <c r="D104" t="s">
        <v>70</v>
      </c>
      <c r="E104" t="s">
        <v>105</v>
      </c>
      <c r="F104" t="s">
        <v>93</v>
      </c>
      <c r="G104" s="22" t="s">
        <v>94</v>
      </c>
    </row>
    <row r="105" spans="1:7" x14ac:dyDescent="0.25">
      <c r="E105" t="s">
        <v>100</v>
      </c>
      <c r="F105" t="s">
        <v>93</v>
      </c>
      <c r="G105" s="22" t="s">
        <v>94</v>
      </c>
    </row>
    <row r="106" spans="1:7" x14ac:dyDescent="0.25">
      <c r="A106" t="s">
        <v>139</v>
      </c>
      <c r="B106" t="s">
        <v>138</v>
      </c>
      <c r="C106" t="s">
        <v>17</v>
      </c>
      <c r="D106" t="s">
        <v>132</v>
      </c>
      <c r="E106" t="s">
        <v>133</v>
      </c>
      <c r="F106" t="s">
        <v>11</v>
      </c>
      <c r="G106" s="22">
        <v>20</v>
      </c>
    </row>
    <row r="107" spans="1:7" x14ac:dyDescent="0.25">
      <c r="A107" t="s">
        <v>98</v>
      </c>
      <c r="B107" t="s">
        <v>97</v>
      </c>
      <c r="C107" t="s">
        <v>90</v>
      </c>
      <c r="D107" t="s">
        <v>70</v>
      </c>
      <c r="E107" t="s">
        <v>71</v>
      </c>
      <c r="F107" t="s">
        <v>93</v>
      </c>
      <c r="G107" s="22" t="s">
        <v>94</v>
      </c>
    </row>
    <row r="108" spans="1:7" x14ac:dyDescent="0.25">
      <c r="A108" t="s">
        <v>115</v>
      </c>
      <c r="B108" t="s">
        <v>114</v>
      </c>
      <c r="C108" t="s">
        <v>17</v>
      </c>
      <c r="D108" t="s">
        <v>172</v>
      </c>
      <c r="E108" t="s">
        <v>173</v>
      </c>
      <c r="F108" t="s">
        <v>11</v>
      </c>
      <c r="G108" s="22">
        <v>150</v>
      </c>
    </row>
    <row r="109" spans="1:7" x14ac:dyDescent="0.25">
      <c r="D109" t="s">
        <v>142</v>
      </c>
      <c r="E109" t="s">
        <v>143</v>
      </c>
      <c r="F109" t="s">
        <v>11</v>
      </c>
      <c r="G109" s="22">
        <v>150</v>
      </c>
    </row>
    <row r="110" spans="1:7" x14ac:dyDescent="0.25">
      <c r="A110" t="s">
        <v>42</v>
      </c>
      <c r="B110" t="s">
        <v>41</v>
      </c>
      <c r="C110" t="s">
        <v>17</v>
      </c>
      <c r="D110" t="s">
        <v>109</v>
      </c>
      <c r="E110" t="s">
        <v>110</v>
      </c>
      <c r="F110" t="s">
        <v>11</v>
      </c>
      <c r="G110" s="22" t="s">
        <v>116</v>
      </c>
    </row>
    <row r="111" spans="1:7" x14ac:dyDescent="0.25">
      <c r="A111" t="s">
        <v>47</v>
      </c>
      <c r="B111" t="s">
        <v>46</v>
      </c>
      <c r="C111" t="s">
        <v>17</v>
      </c>
      <c r="D111" t="s">
        <v>118</v>
      </c>
      <c r="E111" t="s">
        <v>119</v>
      </c>
      <c r="F111" t="s">
        <v>11</v>
      </c>
      <c r="G111" s="22">
        <v>150</v>
      </c>
    </row>
    <row r="112" spans="1:7" x14ac:dyDescent="0.25">
      <c r="D112" t="s">
        <v>164</v>
      </c>
      <c r="E112" t="s">
        <v>165</v>
      </c>
      <c r="F112" t="s">
        <v>11</v>
      </c>
      <c r="G112" s="22">
        <v>1000</v>
      </c>
    </row>
    <row r="113" spans="1:7" x14ac:dyDescent="0.25">
      <c r="D113" t="s">
        <v>148</v>
      </c>
      <c r="E113" t="s">
        <v>149</v>
      </c>
      <c r="F113" t="s">
        <v>11</v>
      </c>
      <c r="G113" s="22">
        <v>1000</v>
      </c>
    </row>
    <row r="114" spans="1:7" x14ac:dyDescent="0.25">
      <c r="A114" t="s">
        <v>81</v>
      </c>
      <c r="B114" t="s">
        <v>80</v>
      </c>
      <c r="C114" t="s">
        <v>79</v>
      </c>
      <c r="D114" t="s">
        <v>70</v>
      </c>
      <c r="E114" t="s">
        <v>105</v>
      </c>
      <c r="F114" t="s">
        <v>10</v>
      </c>
      <c r="G114" s="22" t="s">
        <v>107</v>
      </c>
    </row>
    <row r="115" spans="1:7" x14ac:dyDescent="0.25">
      <c r="E115" t="s">
        <v>100</v>
      </c>
      <c r="F115" t="s">
        <v>10</v>
      </c>
      <c r="G115" s="22" t="s">
        <v>102</v>
      </c>
    </row>
    <row r="116" spans="1:7" x14ac:dyDescent="0.25">
      <c r="E116" t="s">
        <v>71</v>
      </c>
      <c r="F116" t="s">
        <v>10</v>
      </c>
      <c r="G116" s="22" t="s">
        <v>82</v>
      </c>
    </row>
    <row r="117" spans="1:7" x14ac:dyDescent="0.25">
      <c r="E117"/>
      <c r="G117"/>
    </row>
    <row r="118" spans="1:7" x14ac:dyDescent="0.25">
      <c r="E118"/>
      <c r="G118"/>
    </row>
    <row r="119" spans="1:7" x14ac:dyDescent="0.25">
      <c r="E119"/>
      <c r="G119"/>
    </row>
    <row r="120" spans="1:7" x14ac:dyDescent="0.25">
      <c r="E120"/>
      <c r="G120"/>
    </row>
    <row r="121" spans="1:7" x14ac:dyDescent="0.25">
      <c r="E121"/>
      <c r="G121"/>
    </row>
    <row r="122" spans="1:7" x14ac:dyDescent="0.25">
      <c r="E122"/>
      <c r="G122"/>
    </row>
    <row r="123" spans="1:7" x14ac:dyDescent="0.25">
      <c r="E123"/>
      <c r="G123"/>
    </row>
    <row r="124" spans="1:7" x14ac:dyDescent="0.25">
      <c r="E124"/>
      <c r="G124"/>
    </row>
    <row r="125" spans="1:7" x14ac:dyDescent="0.25">
      <c r="E125"/>
      <c r="G125"/>
    </row>
    <row r="126" spans="1:7" x14ac:dyDescent="0.25">
      <c r="E126"/>
      <c r="G126"/>
    </row>
    <row r="127" spans="1:7" x14ac:dyDescent="0.25">
      <c r="E127"/>
      <c r="G127"/>
    </row>
    <row r="128" spans="1:7" x14ac:dyDescent="0.25">
      <c r="E128"/>
      <c r="G128"/>
    </row>
    <row r="129" spans="5:7" x14ac:dyDescent="0.25">
      <c r="E129"/>
      <c r="G129"/>
    </row>
    <row r="130" spans="5:7" x14ac:dyDescent="0.25">
      <c r="E130"/>
      <c r="G130"/>
    </row>
    <row r="131" spans="5:7" x14ac:dyDescent="0.25">
      <c r="E131"/>
      <c r="G131"/>
    </row>
    <row r="132" spans="5:7" x14ac:dyDescent="0.25">
      <c r="E132"/>
      <c r="G132"/>
    </row>
    <row r="133" spans="5:7" x14ac:dyDescent="0.25">
      <c r="E133"/>
      <c r="G133"/>
    </row>
    <row r="134" spans="5:7" x14ac:dyDescent="0.25">
      <c r="E134"/>
      <c r="G134"/>
    </row>
    <row r="135" spans="5:7" x14ac:dyDescent="0.25">
      <c r="E135"/>
      <c r="G135"/>
    </row>
    <row r="136" spans="5:7" x14ac:dyDescent="0.25">
      <c r="E136"/>
      <c r="G136"/>
    </row>
    <row r="137" spans="5:7" x14ac:dyDescent="0.25">
      <c r="E137"/>
      <c r="G137"/>
    </row>
    <row r="138" spans="5:7" x14ac:dyDescent="0.25">
      <c r="E138"/>
      <c r="G138"/>
    </row>
    <row r="139" spans="5:7" x14ac:dyDescent="0.25">
      <c r="E139"/>
      <c r="G139"/>
    </row>
    <row r="140" spans="5:7" x14ac:dyDescent="0.25">
      <c r="E140"/>
      <c r="G140"/>
    </row>
    <row r="141" spans="5:7" x14ac:dyDescent="0.25">
      <c r="E141"/>
      <c r="G141"/>
    </row>
    <row r="142" spans="5:7" x14ac:dyDescent="0.25">
      <c r="E142"/>
      <c r="G142"/>
    </row>
    <row r="143" spans="5:7" x14ac:dyDescent="0.25">
      <c r="E143"/>
      <c r="G143"/>
    </row>
    <row r="144" spans="5:7" x14ac:dyDescent="0.25">
      <c r="E144"/>
      <c r="G144"/>
    </row>
    <row r="145" spans="5:7" x14ac:dyDescent="0.25">
      <c r="E145"/>
      <c r="G145"/>
    </row>
    <row r="146" spans="5:7" x14ac:dyDescent="0.25">
      <c r="E146"/>
      <c r="G146"/>
    </row>
    <row r="147" spans="5:7" x14ac:dyDescent="0.25">
      <c r="E147"/>
      <c r="G147"/>
    </row>
    <row r="148" spans="5:7" x14ac:dyDescent="0.25">
      <c r="E148"/>
    </row>
    <row r="149" spans="5:7" x14ac:dyDescent="0.25">
      <c r="E149"/>
    </row>
    <row r="150" spans="5:7" x14ac:dyDescent="0.25">
      <c r="E150"/>
    </row>
    <row r="151" spans="5:7" x14ac:dyDescent="0.25">
      <c r="E151"/>
    </row>
    <row r="152" spans="5:7" x14ac:dyDescent="0.25">
      <c r="E152"/>
    </row>
    <row r="153" spans="5:7" x14ac:dyDescent="0.25">
      <c r="E153"/>
    </row>
    <row r="154" spans="5:7" x14ac:dyDescent="0.25">
      <c r="E154"/>
    </row>
    <row r="155" spans="5:7" x14ac:dyDescent="0.25">
      <c r="E155"/>
    </row>
    <row r="156" spans="5:7" x14ac:dyDescent="0.25">
      <c r="E156"/>
    </row>
    <row r="157" spans="5:7" x14ac:dyDescent="0.25">
      <c r="E157"/>
    </row>
    <row r="158" spans="5:7" x14ac:dyDescent="0.25">
      <c r="E158"/>
    </row>
    <row r="159" spans="5:7" x14ac:dyDescent="0.25">
      <c r="E159"/>
    </row>
    <row r="160" spans="5:7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B83A-E475-461C-972A-78CAFD11DA86}">
  <dimension ref="A1:H287"/>
  <sheetViews>
    <sheetView zoomScaleNormal="100" workbookViewId="0">
      <selection activeCell="C4" sqref="C4"/>
    </sheetView>
  </sheetViews>
  <sheetFormatPr defaultRowHeight="15" x14ac:dyDescent="0.25"/>
  <cols>
    <col min="1" max="1" width="24.7109375" customWidth="1"/>
    <col min="2" max="2" width="28.5703125" customWidth="1"/>
    <col min="3" max="3" width="39.85546875" customWidth="1"/>
    <col min="4" max="4" width="42.140625" customWidth="1"/>
    <col min="5" max="5" width="36.42578125" style="22" customWidth="1"/>
    <col min="6" max="6" width="20.42578125" customWidth="1"/>
    <col min="7" max="7" width="32.42578125" customWidth="1"/>
    <col min="8" max="8" width="15" style="22" bestFit="1" customWidth="1"/>
    <col min="9" max="9" width="31.7109375" bestFit="1" customWidth="1"/>
    <col min="10" max="10" width="32.140625" bestFit="1" customWidth="1"/>
    <col min="11" max="11" width="39.85546875" bestFit="1" customWidth="1"/>
    <col min="12" max="12" width="23.140625" bestFit="1" customWidth="1"/>
    <col min="13" max="13" width="30.7109375" bestFit="1" customWidth="1"/>
    <col min="14" max="14" width="26.7109375" bestFit="1" customWidth="1"/>
    <col min="15" max="15" width="24.7109375" bestFit="1" customWidth="1"/>
    <col min="16" max="16" width="27.5703125" bestFit="1" customWidth="1"/>
    <col min="17" max="17" width="19.140625" bestFit="1" customWidth="1"/>
    <col min="18" max="18" width="7.42578125" bestFit="1" customWidth="1"/>
    <col min="19" max="19" width="36.42578125" bestFit="1" customWidth="1"/>
    <col min="20" max="20" width="9.5703125" bestFit="1" customWidth="1"/>
    <col min="21" max="21" width="10" bestFit="1" customWidth="1"/>
    <col min="22" max="22" width="20.85546875" bestFit="1" customWidth="1"/>
    <col min="23" max="23" width="17.28515625" bestFit="1" customWidth="1"/>
    <col min="24" max="24" width="22.140625" bestFit="1" customWidth="1"/>
    <col min="25" max="25" width="9.28515625" bestFit="1" customWidth="1"/>
    <col min="26" max="26" width="6.5703125" bestFit="1" customWidth="1"/>
    <col min="27" max="27" width="36.7109375" bestFit="1" customWidth="1"/>
    <col min="28" max="28" width="8.42578125" bestFit="1" customWidth="1"/>
    <col min="29" max="29" width="11.85546875" bestFit="1" customWidth="1"/>
  </cols>
  <sheetData>
    <row r="1" spans="1:8" x14ac:dyDescent="0.25">
      <c r="A1" s="21" t="s">
        <v>219</v>
      </c>
      <c r="B1" t="s">
        <v>220</v>
      </c>
    </row>
    <row r="2" spans="1:8" x14ac:dyDescent="0.25">
      <c r="E2"/>
    </row>
    <row r="3" spans="1:8" x14ac:dyDescent="0.25">
      <c r="A3" s="21" t="s">
        <v>4</v>
      </c>
      <c r="B3" s="21" t="s">
        <v>6</v>
      </c>
      <c r="C3" s="21" t="s">
        <v>5</v>
      </c>
      <c r="D3" s="21" t="s">
        <v>60</v>
      </c>
      <c r="E3" s="21" t="s">
        <v>63</v>
      </c>
      <c r="F3" s="21" t="s">
        <v>7</v>
      </c>
      <c r="G3" s="23" t="s">
        <v>8</v>
      </c>
      <c r="H3" s="23" t="s">
        <v>65</v>
      </c>
    </row>
    <row r="4" spans="1:8" x14ac:dyDescent="0.25">
      <c r="A4" t="s">
        <v>90</v>
      </c>
      <c r="B4" t="s">
        <v>92</v>
      </c>
      <c r="C4" t="s">
        <v>91</v>
      </c>
      <c r="D4" t="s">
        <v>70</v>
      </c>
      <c r="E4" t="s">
        <v>105</v>
      </c>
      <c r="F4" t="s">
        <v>93</v>
      </c>
      <c r="G4" t="s">
        <v>94</v>
      </c>
      <c r="H4" s="22" t="s">
        <v>15</v>
      </c>
    </row>
    <row r="5" spans="1:8" x14ac:dyDescent="0.25">
      <c r="E5" t="s">
        <v>100</v>
      </c>
      <c r="F5" t="s">
        <v>93</v>
      </c>
      <c r="G5" t="s">
        <v>94</v>
      </c>
      <c r="H5" s="22" t="s">
        <v>15</v>
      </c>
    </row>
    <row r="6" spans="1:8" x14ac:dyDescent="0.25">
      <c r="E6" t="s">
        <v>71</v>
      </c>
      <c r="F6" t="s">
        <v>93</v>
      </c>
      <c r="G6" t="s">
        <v>94</v>
      </c>
      <c r="H6" s="22" t="s">
        <v>15</v>
      </c>
    </row>
    <row r="7" spans="1:8" x14ac:dyDescent="0.25">
      <c r="B7" t="s">
        <v>30</v>
      </c>
      <c r="C7" t="s">
        <v>29</v>
      </c>
      <c r="D7" t="s">
        <v>61</v>
      </c>
      <c r="E7" t="s">
        <v>62</v>
      </c>
      <c r="F7" t="s">
        <v>10</v>
      </c>
      <c r="G7" t="s">
        <v>31</v>
      </c>
      <c r="H7" s="22" t="s">
        <v>15</v>
      </c>
    </row>
    <row r="8" spans="1:8" x14ac:dyDescent="0.25">
      <c r="B8" t="s">
        <v>96</v>
      </c>
      <c r="C8" t="s">
        <v>95</v>
      </c>
      <c r="D8" t="s">
        <v>70</v>
      </c>
      <c r="E8" t="s">
        <v>105</v>
      </c>
      <c r="F8" t="s">
        <v>93</v>
      </c>
      <c r="G8" t="s">
        <v>94</v>
      </c>
      <c r="H8" s="22" t="s">
        <v>15</v>
      </c>
    </row>
    <row r="9" spans="1:8" x14ac:dyDescent="0.25">
      <c r="E9" t="s">
        <v>100</v>
      </c>
      <c r="F9" t="s">
        <v>93</v>
      </c>
      <c r="G9" t="s">
        <v>94</v>
      </c>
      <c r="H9" s="22" t="s">
        <v>15</v>
      </c>
    </row>
    <row r="10" spans="1:8" x14ac:dyDescent="0.25">
      <c r="E10" t="s">
        <v>71</v>
      </c>
      <c r="F10" t="s">
        <v>93</v>
      </c>
      <c r="G10" t="s">
        <v>94</v>
      </c>
      <c r="H10" s="22" t="s">
        <v>15</v>
      </c>
    </row>
    <row r="11" spans="1:8" x14ac:dyDescent="0.25">
      <c r="B11" t="s">
        <v>103</v>
      </c>
      <c r="C11" t="s">
        <v>82</v>
      </c>
      <c r="D11" t="s">
        <v>70</v>
      </c>
      <c r="E11" t="s">
        <v>105</v>
      </c>
      <c r="F11" t="s">
        <v>93</v>
      </c>
      <c r="G11" t="s">
        <v>94</v>
      </c>
      <c r="H11" s="22" t="s">
        <v>15</v>
      </c>
    </row>
    <row r="12" spans="1:8" x14ac:dyDescent="0.25">
      <c r="E12" t="s">
        <v>100</v>
      </c>
      <c r="F12" t="s">
        <v>93</v>
      </c>
      <c r="G12" t="s">
        <v>94</v>
      </c>
      <c r="H12" s="22" t="s">
        <v>15</v>
      </c>
    </row>
    <row r="13" spans="1:8" x14ac:dyDescent="0.25">
      <c r="B13" t="s">
        <v>98</v>
      </c>
      <c r="C13" t="s">
        <v>97</v>
      </c>
      <c r="D13" t="s">
        <v>70</v>
      </c>
      <c r="E13" t="s">
        <v>71</v>
      </c>
      <c r="F13" t="s">
        <v>93</v>
      </c>
      <c r="G13" t="s">
        <v>94</v>
      </c>
      <c r="H13" s="22" t="s">
        <v>15</v>
      </c>
    </row>
    <row r="14" spans="1:8" x14ac:dyDescent="0.25">
      <c r="A14" t="s">
        <v>69</v>
      </c>
      <c r="B14" t="s">
        <v>35</v>
      </c>
      <c r="C14" t="s">
        <v>34</v>
      </c>
      <c r="D14" t="s">
        <v>66</v>
      </c>
      <c r="E14" t="s">
        <v>67</v>
      </c>
      <c r="F14" t="s">
        <v>10</v>
      </c>
      <c r="G14" t="s">
        <v>36</v>
      </c>
      <c r="H14" s="22" t="s">
        <v>15</v>
      </c>
    </row>
    <row r="15" spans="1:8" x14ac:dyDescent="0.25">
      <c r="D15" t="s">
        <v>118</v>
      </c>
      <c r="E15" t="s">
        <v>119</v>
      </c>
      <c r="F15" t="s">
        <v>10</v>
      </c>
      <c r="G15" t="s">
        <v>121</v>
      </c>
      <c r="H15" s="22" t="s">
        <v>15</v>
      </c>
    </row>
    <row r="16" spans="1:8" x14ac:dyDescent="0.25">
      <c r="D16" t="s">
        <v>172</v>
      </c>
      <c r="E16" t="s">
        <v>173</v>
      </c>
      <c r="F16" t="s">
        <v>10</v>
      </c>
      <c r="G16" t="s">
        <v>174</v>
      </c>
      <c r="H16" s="22" t="s">
        <v>15</v>
      </c>
    </row>
    <row r="17" spans="2:8" x14ac:dyDescent="0.25">
      <c r="D17" t="s">
        <v>164</v>
      </c>
      <c r="E17" t="s">
        <v>165</v>
      </c>
      <c r="F17" t="s">
        <v>10</v>
      </c>
      <c r="G17" t="s">
        <v>167</v>
      </c>
      <c r="H17" s="22" t="s">
        <v>15</v>
      </c>
    </row>
    <row r="18" spans="2:8" x14ac:dyDescent="0.25">
      <c r="D18" t="s">
        <v>180</v>
      </c>
      <c r="E18" t="s">
        <v>181</v>
      </c>
      <c r="F18" t="s">
        <v>10</v>
      </c>
      <c r="G18" t="s">
        <v>183</v>
      </c>
      <c r="H18" s="22" t="s">
        <v>15</v>
      </c>
    </row>
    <row r="19" spans="2:8" x14ac:dyDescent="0.25">
      <c r="D19" t="s">
        <v>191</v>
      </c>
      <c r="E19" t="s">
        <v>192</v>
      </c>
      <c r="F19" t="s">
        <v>10</v>
      </c>
      <c r="G19" t="s">
        <v>193</v>
      </c>
      <c r="H19" s="22" t="s">
        <v>15</v>
      </c>
    </row>
    <row r="20" spans="2:8" x14ac:dyDescent="0.25">
      <c r="D20" t="s">
        <v>132</v>
      </c>
      <c r="E20" t="s">
        <v>133</v>
      </c>
      <c r="F20" t="s">
        <v>10</v>
      </c>
      <c r="G20" t="s">
        <v>135</v>
      </c>
      <c r="H20" s="22" t="s">
        <v>15</v>
      </c>
    </row>
    <row r="21" spans="2:8" x14ac:dyDescent="0.25">
      <c r="D21" t="s">
        <v>142</v>
      </c>
      <c r="E21" t="s">
        <v>143</v>
      </c>
      <c r="F21" t="s">
        <v>10</v>
      </c>
      <c r="G21" t="s">
        <v>145</v>
      </c>
      <c r="H21" s="22" t="s">
        <v>15</v>
      </c>
    </row>
    <row r="22" spans="2:8" x14ac:dyDescent="0.25">
      <c r="D22" t="s">
        <v>127</v>
      </c>
      <c r="E22" t="s">
        <v>126</v>
      </c>
      <c r="F22" t="s">
        <v>10</v>
      </c>
      <c r="G22" t="s">
        <v>129</v>
      </c>
      <c r="H22" s="22" t="s">
        <v>15</v>
      </c>
    </row>
    <row r="23" spans="2:8" x14ac:dyDescent="0.25">
      <c r="D23" t="s">
        <v>109</v>
      </c>
      <c r="E23" t="s">
        <v>110</v>
      </c>
      <c r="F23" t="s">
        <v>10</v>
      </c>
      <c r="G23" t="s">
        <v>112</v>
      </c>
      <c r="H23" s="22" t="s">
        <v>15</v>
      </c>
    </row>
    <row r="24" spans="2:8" x14ac:dyDescent="0.25">
      <c r="D24" t="s">
        <v>148</v>
      </c>
      <c r="E24" t="s">
        <v>149</v>
      </c>
      <c r="F24" t="s">
        <v>10</v>
      </c>
      <c r="G24" t="s">
        <v>151</v>
      </c>
      <c r="H24" s="22" t="s">
        <v>15</v>
      </c>
    </row>
    <row r="25" spans="2:8" x14ac:dyDescent="0.25">
      <c r="B25" t="s">
        <v>39</v>
      </c>
      <c r="C25" t="s">
        <v>38</v>
      </c>
      <c r="D25" t="s">
        <v>66</v>
      </c>
      <c r="E25" t="s">
        <v>67</v>
      </c>
      <c r="F25" t="s">
        <v>10</v>
      </c>
      <c r="G25" t="s">
        <v>40</v>
      </c>
      <c r="H25" s="22" t="s">
        <v>15</v>
      </c>
    </row>
    <row r="26" spans="2:8" x14ac:dyDescent="0.25">
      <c r="D26" t="s">
        <v>118</v>
      </c>
      <c r="E26" t="s">
        <v>119</v>
      </c>
      <c r="F26" t="s">
        <v>10</v>
      </c>
      <c r="G26" t="s">
        <v>122</v>
      </c>
      <c r="H26" s="22" t="s">
        <v>15</v>
      </c>
    </row>
    <row r="27" spans="2:8" x14ac:dyDescent="0.25">
      <c r="D27" t="s">
        <v>172</v>
      </c>
      <c r="E27" t="s">
        <v>173</v>
      </c>
      <c r="F27" t="s">
        <v>10</v>
      </c>
      <c r="G27" t="s">
        <v>178</v>
      </c>
      <c r="H27" s="22" t="s">
        <v>15</v>
      </c>
    </row>
    <row r="28" spans="2:8" x14ac:dyDescent="0.25">
      <c r="D28" t="s">
        <v>164</v>
      </c>
      <c r="E28" t="s">
        <v>165</v>
      </c>
      <c r="F28" t="s">
        <v>10</v>
      </c>
      <c r="G28" t="s">
        <v>169</v>
      </c>
      <c r="H28" s="22" t="s">
        <v>15</v>
      </c>
    </row>
    <row r="29" spans="2:8" x14ac:dyDescent="0.25">
      <c r="D29" t="s">
        <v>191</v>
      </c>
      <c r="E29" t="s">
        <v>192</v>
      </c>
      <c r="F29" t="s">
        <v>10</v>
      </c>
      <c r="G29" t="s">
        <v>195</v>
      </c>
      <c r="H29" s="22" t="s">
        <v>15</v>
      </c>
    </row>
    <row r="30" spans="2:8" x14ac:dyDescent="0.25">
      <c r="D30" t="s">
        <v>132</v>
      </c>
      <c r="E30" t="s">
        <v>133</v>
      </c>
      <c r="F30" t="s">
        <v>10</v>
      </c>
      <c r="G30" t="s">
        <v>137</v>
      </c>
      <c r="H30" s="22" t="s">
        <v>15</v>
      </c>
    </row>
    <row r="31" spans="2:8" x14ac:dyDescent="0.25">
      <c r="D31" t="s">
        <v>142</v>
      </c>
      <c r="E31" t="s">
        <v>143</v>
      </c>
      <c r="F31" t="s">
        <v>10</v>
      </c>
      <c r="G31" t="s">
        <v>143</v>
      </c>
      <c r="H31" s="22" t="s">
        <v>15</v>
      </c>
    </row>
    <row r="32" spans="2:8" x14ac:dyDescent="0.25">
      <c r="D32" t="s">
        <v>127</v>
      </c>
      <c r="E32" t="s">
        <v>126</v>
      </c>
      <c r="F32" t="s">
        <v>10</v>
      </c>
      <c r="G32" t="s">
        <v>126</v>
      </c>
      <c r="H32" s="22" t="s">
        <v>15</v>
      </c>
    </row>
    <row r="33" spans="2:8" x14ac:dyDescent="0.25">
      <c r="D33" t="s">
        <v>109</v>
      </c>
      <c r="E33" t="s">
        <v>110</v>
      </c>
      <c r="F33" t="s">
        <v>10</v>
      </c>
      <c r="G33" t="s">
        <v>113</v>
      </c>
      <c r="H33" s="22" t="s">
        <v>15</v>
      </c>
    </row>
    <row r="34" spans="2:8" x14ac:dyDescent="0.25">
      <c r="D34" t="s">
        <v>148</v>
      </c>
      <c r="E34" t="s">
        <v>149</v>
      </c>
      <c r="F34" t="s">
        <v>10</v>
      </c>
      <c r="G34" t="s">
        <v>155</v>
      </c>
      <c r="H34" s="22" t="s">
        <v>15</v>
      </c>
    </row>
    <row r="35" spans="2:8" x14ac:dyDescent="0.25">
      <c r="B35" t="s">
        <v>153</v>
      </c>
      <c r="C35" t="s">
        <v>152</v>
      </c>
      <c r="D35" t="s">
        <v>172</v>
      </c>
      <c r="E35" t="s">
        <v>173</v>
      </c>
      <c r="F35" t="s">
        <v>10</v>
      </c>
      <c r="G35" t="s">
        <v>175</v>
      </c>
      <c r="H35" s="22" t="s">
        <v>15</v>
      </c>
    </row>
    <row r="36" spans="2:8" x14ac:dyDescent="0.25">
      <c r="D36" t="s">
        <v>164</v>
      </c>
      <c r="E36" t="s">
        <v>165</v>
      </c>
      <c r="F36" t="s">
        <v>10</v>
      </c>
      <c r="G36" t="s">
        <v>154</v>
      </c>
      <c r="H36" s="22" t="s">
        <v>15</v>
      </c>
    </row>
    <row r="37" spans="2:8" x14ac:dyDescent="0.25">
      <c r="D37" t="s">
        <v>180</v>
      </c>
      <c r="E37" t="s">
        <v>181</v>
      </c>
      <c r="F37" t="s">
        <v>10</v>
      </c>
      <c r="G37" t="s">
        <v>184</v>
      </c>
      <c r="H37" s="22" t="s">
        <v>15</v>
      </c>
    </row>
    <row r="38" spans="2:8" x14ac:dyDescent="0.25">
      <c r="D38" t="s">
        <v>191</v>
      </c>
      <c r="E38" t="s">
        <v>192</v>
      </c>
      <c r="F38" t="s">
        <v>10</v>
      </c>
      <c r="G38" t="s">
        <v>184</v>
      </c>
      <c r="H38" s="22" t="s">
        <v>15</v>
      </c>
    </row>
    <row r="39" spans="2:8" x14ac:dyDescent="0.25">
      <c r="D39" t="s">
        <v>148</v>
      </c>
      <c r="E39" t="s">
        <v>149</v>
      </c>
      <c r="F39" t="s">
        <v>10</v>
      </c>
      <c r="G39" t="s">
        <v>154</v>
      </c>
      <c r="H39" s="22" t="s">
        <v>15</v>
      </c>
    </row>
    <row r="40" spans="2:8" x14ac:dyDescent="0.25">
      <c r="B40" t="s">
        <v>157</v>
      </c>
      <c r="C40" t="s">
        <v>156</v>
      </c>
      <c r="D40" t="s">
        <v>172</v>
      </c>
      <c r="E40" t="s">
        <v>173</v>
      </c>
      <c r="F40" t="s">
        <v>10</v>
      </c>
      <c r="G40" t="s">
        <v>177</v>
      </c>
      <c r="H40" s="22" t="s">
        <v>15</v>
      </c>
    </row>
    <row r="41" spans="2:8" x14ac:dyDescent="0.25">
      <c r="D41" t="s">
        <v>164</v>
      </c>
      <c r="E41" t="s">
        <v>165</v>
      </c>
      <c r="F41" t="s">
        <v>10</v>
      </c>
      <c r="G41" t="s">
        <v>158</v>
      </c>
      <c r="H41" s="22" t="s">
        <v>15</v>
      </c>
    </row>
    <row r="42" spans="2:8" x14ac:dyDescent="0.25">
      <c r="D42" t="s">
        <v>180</v>
      </c>
      <c r="E42" t="s">
        <v>181</v>
      </c>
      <c r="F42" t="s">
        <v>10</v>
      </c>
      <c r="G42" t="s">
        <v>186</v>
      </c>
      <c r="H42" s="22" t="s">
        <v>15</v>
      </c>
    </row>
    <row r="43" spans="2:8" x14ac:dyDescent="0.25">
      <c r="D43" t="s">
        <v>191</v>
      </c>
      <c r="E43" t="s">
        <v>192</v>
      </c>
      <c r="F43" t="s">
        <v>10</v>
      </c>
      <c r="G43" t="s">
        <v>186</v>
      </c>
      <c r="H43" s="22" t="s">
        <v>15</v>
      </c>
    </row>
    <row r="44" spans="2:8" x14ac:dyDescent="0.25">
      <c r="D44" t="s">
        <v>148</v>
      </c>
      <c r="E44" t="s">
        <v>149</v>
      </c>
      <c r="F44" t="s">
        <v>10</v>
      </c>
      <c r="G44" t="s">
        <v>158</v>
      </c>
      <c r="H44" s="22" t="s">
        <v>15</v>
      </c>
    </row>
    <row r="45" spans="2:8" x14ac:dyDescent="0.25">
      <c r="B45" t="s">
        <v>74</v>
      </c>
      <c r="C45" t="s">
        <v>101</v>
      </c>
      <c r="D45" t="s">
        <v>70</v>
      </c>
      <c r="E45" t="s">
        <v>105</v>
      </c>
      <c r="F45" t="s">
        <v>10</v>
      </c>
      <c r="G45" t="s">
        <v>106</v>
      </c>
      <c r="H45" s="22" t="s">
        <v>15</v>
      </c>
    </row>
    <row r="46" spans="2:8" x14ac:dyDescent="0.25">
      <c r="E46" t="s">
        <v>100</v>
      </c>
      <c r="F46" t="s">
        <v>10</v>
      </c>
      <c r="G46" t="s">
        <v>15</v>
      </c>
      <c r="H46" s="22" t="s">
        <v>15</v>
      </c>
    </row>
    <row r="47" spans="2:8" x14ac:dyDescent="0.25">
      <c r="E47" t="s">
        <v>71</v>
      </c>
      <c r="F47" t="s">
        <v>10</v>
      </c>
      <c r="G47" t="s">
        <v>75</v>
      </c>
      <c r="H47" s="22" t="s">
        <v>15</v>
      </c>
    </row>
    <row r="48" spans="2:8" x14ac:dyDescent="0.25">
      <c r="B48" t="s">
        <v>77</v>
      </c>
      <c r="C48" t="s">
        <v>73</v>
      </c>
      <c r="D48" t="s">
        <v>70</v>
      </c>
      <c r="E48" t="s">
        <v>105</v>
      </c>
      <c r="F48" t="s">
        <v>10</v>
      </c>
      <c r="G48" t="s">
        <v>107</v>
      </c>
      <c r="H48" s="22" t="s">
        <v>15</v>
      </c>
    </row>
    <row r="49" spans="2:8" x14ac:dyDescent="0.25">
      <c r="E49" t="s">
        <v>100</v>
      </c>
      <c r="F49" t="s">
        <v>10</v>
      </c>
      <c r="G49" t="s">
        <v>15</v>
      </c>
      <c r="H49" s="22" t="s">
        <v>15</v>
      </c>
    </row>
    <row r="50" spans="2:8" x14ac:dyDescent="0.25">
      <c r="E50" t="s">
        <v>71</v>
      </c>
      <c r="F50" t="s">
        <v>10</v>
      </c>
      <c r="G50" t="s">
        <v>76</v>
      </c>
      <c r="H50" s="22" t="s">
        <v>15</v>
      </c>
    </row>
    <row r="51" spans="2:8" x14ac:dyDescent="0.25">
      <c r="B51" t="s">
        <v>14</v>
      </c>
      <c r="C51" t="s">
        <v>13</v>
      </c>
      <c r="D51" t="s">
        <v>66</v>
      </c>
      <c r="E51" t="s">
        <v>67</v>
      </c>
      <c r="F51" t="s">
        <v>10</v>
      </c>
      <c r="G51" t="s">
        <v>37</v>
      </c>
      <c r="H51" s="22" t="s">
        <v>15</v>
      </c>
    </row>
    <row r="52" spans="2:8" x14ac:dyDescent="0.25">
      <c r="D52" t="s">
        <v>118</v>
      </c>
      <c r="E52" t="s">
        <v>119</v>
      </c>
      <c r="F52" t="s">
        <v>10</v>
      </c>
      <c r="G52" t="s">
        <v>122</v>
      </c>
      <c r="H52" s="22" t="s">
        <v>15</v>
      </c>
    </row>
    <row r="53" spans="2:8" x14ac:dyDescent="0.25">
      <c r="D53" t="s">
        <v>172</v>
      </c>
      <c r="E53" t="s">
        <v>173</v>
      </c>
      <c r="F53" t="s">
        <v>10</v>
      </c>
      <c r="G53" t="s">
        <v>176</v>
      </c>
      <c r="H53" s="22" t="s">
        <v>15</v>
      </c>
    </row>
    <row r="54" spans="2:8" x14ac:dyDescent="0.25">
      <c r="D54" t="s">
        <v>164</v>
      </c>
      <c r="E54" t="s">
        <v>165</v>
      </c>
      <c r="F54" t="s">
        <v>10</v>
      </c>
      <c r="G54" t="s">
        <v>168</v>
      </c>
      <c r="H54" s="22" t="s">
        <v>15</v>
      </c>
    </row>
    <row r="55" spans="2:8" x14ac:dyDescent="0.25">
      <c r="D55" t="s">
        <v>180</v>
      </c>
      <c r="E55" t="s">
        <v>181</v>
      </c>
      <c r="F55" t="s">
        <v>10</v>
      </c>
      <c r="G55" t="s">
        <v>185</v>
      </c>
      <c r="H55" s="22" t="s">
        <v>15</v>
      </c>
    </row>
    <row r="56" spans="2:8" x14ac:dyDescent="0.25">
      <c r="D56" t="s">
        <v>191</v>
      </c>
      <c r="E56" t="s">
        <v>192</v>
      </c>
      <c r="F56" t="s">
        <v>10</v>
      </c>
      <c r="G56" t="s">
        <v>194</v>
      </c>
      <c r="H56" s="22" t="s">
        <v>15</v>
      </c>
    </row>
    <row r="57" spans="2:8" x14ac:dyDescent="0.25">
      <c r="D57" t="s">
        <v>132</v>
      </c>
      <c r="E57" t="s">
        <v>133</v>
      </c>
      <c r="F57" t="s">
        <v>10</v>
      </c>
      <c r="G57" t="s">
        <v>136</v>
      </c>
      <c r="H57" s="22" t="s">
        <v>15</v>
      </c>
    </row>
    <row r="58" spans="2:8" x14ac:dyDescent="0.25">
      <c r="D58" t="s">
        <v>142</v>
      </c>
      <c r="E58" t="s">
        <v>143</v>
      </c>
      <c r="F58" t="s">
        <v>10</v>
      </c>
      <c r="G58" t="s">
        <v>146</v>
      </c>
      <c r="H58" s="22" t="s">
        <v>15</v>
      </c>
    </row>
    <row r="59" spans="2:8" x14ac:dyDescent="0.25">
      <c r="D59" t="s">
        <v>70</v>
      </c>
      <c r="E59" t="s">
        <v>105</v>
      </c>
      <c r="F59" t="s">
        <v>10</v>
      </c>
      <c r="G59" t="s">
        <v>107</v>
      </c>
      <c r="H59" s="22" t="s">
        <v>15</v>
      </c>
    </row>
    <row r="60" spans="2:8" x14ac:dyDescent="0.25">
      <c r="E60" t="s">
        <v>100</v>
      </c>
      <c r="F60" t="s">
        <v>10</v>
      </c>
      <c r="G60" t="s">
        <v>102</v>
      </c>
      <c r="H60" s="22" t="s">
        <v>15</v>
      </c>
    </row>
    <row r="61" spans="2:8" x14ac:dyDescent="0.25">
      <c r="E61" t="s">
        <v>71</v>
      </c>
      <c r="F61" t="s">
        <v>10</v>
      </c>
      <c r="G61" t="s">
        <v>76</v>
      </c>
      <c r="H61" s="22" t="s">
        <v>15</v>
      </c>
    </row>
    <row r="62" spans="2:8" x14ac:dyDescent="0.25">
      <c r="D62" t="s">
        <v>127</v>
      </c>
      <c r="E62" t="s">
        <v>126</v>
      </c>
      <c r="F62" t="s">
        <v>10</v>
      </c>
      <c r="G62" t="s">
        <v>130</v>
      </c>
      <c r="H62" s="22" t="s">
        <v>15</v>
      </c>
    </row>
    <row r="63" spans="2:8" x14ac:dyDescent="0.25">
      <c r="D63" t="s">
        <v>109</v>
      </c>
      <c r="E63" t="s">
        <v>110</v>
      </c>
      <c r="F63" t="s">
        <v>10</v>
      </c>
      <c r="G63" t="s">
        <v>113</v>
      </c>
      <c r="H63" s="22" t="s">
        <v>15</v>
      </c>
    </row>
    <row r="64" spans="2:8" x14ac:dyDescent="0.25">
      <c r="D64" t="s">
        <v>148</v>
      </c>
      <c r="E64" t="s">
        <v>149</v>
      </c>
      <c r="F64" t="s">
        <v>10</v>
      </c>
      <c r="G64" t="s">
        <v>155</v>
      </c>
      <c r="H64" s="22" t="s">
        <v>15</v>
      </c>
    </row>
    <row r="65" spans="1:8" x14ac:dyDescent="0.25">
      <c r="A65" t="s">
        <v>79</v>
      </c>
      <c r="B65" t="s">
        <v>87</v>
      </c>
      <c r="C65" t="s">
        <v>86</v>
      </c>
      <c r="D65" t="s">
        <v>70</v>
      </c>
      <c r="E65" t="s">
        <v>71</v>
      </c>
      <c r="F65" t="s">
        <v>10</v>
      </c>
      <c r="G65">
        <v>12</v>
      </c>
      <c r="H65" s="22" t="s">
        <v>15</v>
      </c>
    </row>
    <row r="66" spans="1:8" x14ac:dyDescent="0.25">
      <c r="B66" t="s">
        <v>84</v>
      </c>
      <c r="C66" t="s">
        <v>83</v>
      </c>
      <c r="D66" t="s">
        <v>70</v>
      </c>
      <c r="E66" t="s">
        <v>71</v>
      </c>
      <c r="F66" t="s">
        <v>10</v>
      </c>
      <c r="G66" t="s">
        <v>85</v>
      </c>
      <c r="H66" s="22" t="s">
        <v>15</v>
      </c>
    </row>
    <row r="67" spans="1:8" x14ac:dyDescent="0.25">
      <c r="B67" t="s">
        <v>89</v>
      </c>
      <c r="C67" t="s">
        <v>88</v>
      </c>
      <c r="D67" t="s">
        <v>70</v>
      </c>
      <c r="E67" t="s">
        <v>71</v>
      </c>
      <c r="F67" t="s">
        <v>10</v>
      </c>
      <c r="G67">
        <v>1</v>
      </c>
      <c r="H67" s="22" t="s">
        <v>15</v>
      </c>
    </row>
    <row r="68" spans="1:8" x14ac:dyDescent="0.25">
      <c r="B68" t="s">
        <v>81</v>
      </c>
      <c r="C68" t="s">
        <v>80</v>
      </c>
      <c r="D68" t="s">
        <v>70</v>
      </c>
      <c r="E68" t="s">
        <v>105</v>
      </c>
      <c r="F68" t="s">
        <v>10</v>
      </c>
      <c r="G68" t="s">
        <v>107</v>
      </c>
      <c r="H68" s="22" t="s">
        <v>15</v>
      </c>
    </row>
    <row r="69" spans="1:8" x14ac:dyDescent="0.25">
      <c r="E69" t="s">
        <v>100</v>
      </c>
      <c r="F69" t="s">
        <v>10</v>
      </c>
      <c r="G69" t="s">
        <v>102</v>
      </c>
      <c r="H69" s="22" t="s">
        <v>15</v>
      </c>
    </row>
    <row r="70" spans="1:8" x14ac:dyDescent="0.25">
      <c r="E70" t="s">
        <v>71</v>
      </c>
      <c r="F70" t="s">
        <v>10</v>
      </c>
      <c r="G70" t="s">
        <v>82</v>
      </c>
      <c r="H70" s="22" t="s">
        <v>15</v>
      </c>
    </row>
    <row r="71" spans="1:8" x14ac:dyDescent="0.25">
      <c r="A71" t="s">
        <v>51</v>
      </c>
      <c r="B71" t="s">
        <v>53</v>
      </c>
      <c r="C71" t="s">
        <v>52</v>
      </c>
      <c r="D71" t="s">
        <v>66</v>
      </c>
      <c r="E71" t="s">
        <v>67</v>
      </c>
      <c r="F71" t="s">
        <v>10</v>
      </c>
      <c r="G71" t="s">
        <v>54</v>
      </c>
      <c r="H71" s="22" t="s">
        <v>15</v>
      </c>
    </row>
    <row r="72" spans="1:8" x14ac:dyDescent="0.25">
      <c r="D72" t="s">
        <v>118</v>
      </c>
      <c r="E72" t="s">
        <v>119</v>
      </c>
      <c r="F72" t="s">
        <v>10</v>
      </c>
      <c r="G72" t="s">
        <v>54</v>
      </c>
      <c r="H72" s="22" t="s">
        <v>15</v>
      </c>
    </row>
    <row r="73" spans="1:8" x14ac:dyDescent="0.25">
      <c r="D73" t="s">
        <v>172</v>
      </c>
      <c r="E73" t="s">
        <v>173</v>
      </c>
      <c r="F73" t="s">
        <v>10</v>
      </c>
      <c r="G73" t="s">
        <v>54</v>
      </c>
      <c r="H73" s="22" t="s">
        <v>15</v>
      </c>
    </row>
    <row r="74" spans="1:8" x14ac:dyDescent="0.25">
      <c r="D74" t="s">
        <v>164</v>
      </c>
      <c r="E74" t="s">
        <v>165</v>
      </c>
      <c r="F74" t="s">
        <v>10</v>
      </c>
      <c r="G74" t="s">
        <v>54</v>
      </c>
      <c r="H74" s="22" t="s">
        <v>15</v>
      </c>
    </row>
    <row r="75" spans="1:8" x14ac:dyDescent="0.25">
      <c r="D75" t="s">
        <v>180</v>
      </c>
      <c r="E75" t="s">
        <v>181</v>
      </c>
      <c r="F75" t="s">
        <v>10</v>
      </c>
      <c r="G75" t="s">
        <v>54</v>
      </c>
      <c r="H75" s="22" t="s">
        <v>15</v>
      </c>
    </row>
    <row r="76" spans="1:8" x14ac:dyDescent="0.25">
      <c r="D76" t="s">
        <v>191</v>
      </c>
      <c r="E76" t="s">
        <v>192</v>
      </c>
      <c r="F76" t="s">
        <v>10</v>
      </c>
      <c r="G76" t="s">
        <v>54</v>
      </c>
      <c r="H76" s="22" t="s">
        <v>15</v>
      </c>
    </row>
    <row r="77" spans="1:8" x14ac:dyDescent="0.25">
      <c r="D77" t="s">
        <v>132</v>
      </c>
      <c r="E77" t="s">
        <v>133</v>
      </c>
      <c r="F77" t="s">
        <v>10</v>
      </c>
      <c r="G77" t="s">
        <v>54</v>
      </c>
      <c r="H77" s="22" t="s">
        <v>15</v>
      </c>
    </row>
    <row r="78" spans="1:8" x14ac:dyDescent="0.25">
      <c r="D78" t="s">
        <v>142</v>
      </c>
      <c r="E78" t="s">
        <v>143</v>
      </c>
      <c r="F78" t="s">
        <v>10</v>
      </c>
      <c r="G78" t="s">
        <v>54</v>
      </c>
      <c r="H78" s="22" t="s">
        <v>15</v>
      </c>
    </row>
    <row r="79" spans="1:8" x14ac:dyDescent="0.25">
      <c r="D79" t="s">
        <v>70</v>
      </c>
      <c r="E79" t="s">
        <v>105</v>
      </c>
      <c r="F79" t="s">
        <v>10</v>
      </c>
      <c r="G79" t="s">
        <v>54</v>
      </c>
      <c r="H79" s="22" t="s">
        <v>15</v>
      </c>
    </row>
    <row r="80" spans="1:8" x14ac:dyDescent="0.25">
      <c r="E80" t="s">
        <v>100</v>
      </c>
      <c r="F80" t="s">
        <v>10</v>
      </c>
      <c r="G80" t="s">
        <v>54</v>
      </c>
      <c r="H80" s="22" t="s">
        <v>15</v>
      </c>
    </row>
    <row r="81" spans="2:8" x14ac:dyDescent="0.25">
      <c r="E81" t="s">
        <v>71</v>
      </c>
      <c r="F81" t="s">
        <v>10</v>
      </c>
      <c r="G81" t="s">
        <v>54</v>
      </c>
      <c r="H81" s="22" t="s">
        <v>15</v>
      </c>
    </row>
    <row r="82" spans="2:8" x14ac:dyDescent="0.25">
      <c r="D82" t="s">
        <v>127</v>
      </c>
      <c r="E82" t="s">
        <v>126</v>
      </c>
      <c r="F82" t="s">
        <v>10</v>
      </c>
      <c r="G82" t="s">
        <v>54</v>
      </c>
      <c r="H82" s="22" t="s">
        <v>15</v>
      </c>
    </row>
    <row r="83" spans="2:8" x14ac:dyDescent="0.25">
      <c r="D83" t="s">
        <v>109</v>
      </c>
      <c r="E83" t="s">
        <v>110</v>
      </c>
      <c r="F83" t="s">
        <v>10</v>
      </c>
      <c r="G83" t="s">
        <v>54</v>
      </c>
      <c r="H83" s="22" t="s">
        <v>15</v>
      </c>
    </row>
    <row r="84" spans="2:8" x14ac:dyDescent="0.25">
      <c r="D84" t="s">
        <v>148</v>
      </c>
      <c r="E84" t="s">
        <v>149</v>
      </c>
      <c r="F84" t="s">
        <v>10</v>
      </c>
      <c r="G84" t="s">
        <v>54</v>
      </c>
      <c r="H84" s="22" t="s">
        <v>15</v>
      </c>
    </row>
    <row r="85" spans="2:8" x14ac:dyDescent="0.25">
      <c r="B85" t="s">
        <v>56</v>
      </c>
      <c r="C85" t="s">
        <v>55</v>
      </c>
      <c r="D85" t="s">
        <v>66</v>
      </c>
      <c r="E85" t="s">
        <v>67</v>
      </c>
      <c r="F85" t="s">
        <v>10</v>
      </c>
      <c r="G85" t="s">
        <v>57</v>
      </c>
      <c r="H85" s="22" t="s">
        <v>15</v>
      </c>
    </row>
    <row r="86" spans="2:8" x14ac:dyDescent="0.25">
      <c r="D86" t="s">
        <v>118</v>
      </c>
      <c r="E86" t="s">
        <v>119</v>
      </c>
      <c r="F86" t="s">
        <v>10</v>
      </c>
      <c r="G86" t="s">
        <v>57</v>
      </c>
      <c r="H86" s="22" t="s">
        <v>15</v>
      </c>
    </row>
    <row r="87" spans="2:8" x14ac:dyDescent="0.25">
      <c r="D87" t="s">
        <v>172</v>
      </c>
      <c r="E87" t="s">
        <v>173</v>
      </c>
      <c r="F87" t="s">
        <v>10</v>
      </c>
      <c r="G87" t="s">
        <v>57</v>
      </c>
      <c r="H87" s="22" t="s">
        <v>15</v>
      </c>
    </row>
    <row r="88" spans="2:8" x14ac:dyDescent="0.25">
      <c r="D88" t="s">
        <v>164</v>
      </c>
      <c r="E88" t="s">
        <v>165</v>
      </c>
      <c r="F88" t="s">
        <v>10</v>
      </c>
      <c r="G88" t="s">
        <v>57</v>
      </c>
      <c r="H88" s="22" t="s">
        <v>15</v>
      </c>
    </row>
    <row r="89" spans="2:8" x14ac:dyDescent="0.25">
      <c r="D89" t="s">
        <v>180</v>
      </c>
      <c r="E89" t="s">
        <v>181</v>
      </c>
      <c r="F89" t="s">
        <v>10</v>
      </c>
      <c r="G89" t="s">
        <v>57</v>
      </c>
      <c r="H89" s="22" t="s">
        <v>15</v>
      </c>
    </row>
    <row r="90" spans="2:8" x14ac:dyDescent="0.25">
      <c r="D90" t="s">
        <v>191</v>
      </c>
      <c r="E90" t="s">
        <v>192</v>
      </c>
      <c r="F90" t="s">
        <v>10</v>
      </c>
      <c r="G90" t="s">
        <v>57</v>
      </c>
      <c r="H90" s="22" t="s">
        <v>15</v>
      </c>
    </row>
    <row r="91" spans="2:8" x14ac:dyDescent="0.25">
      <c r="D91" t="s">
        <v>132</v>
      </c>
      <c r="E91" t="s">
        <v>133</v>
      </c>
      <c r="F91" t="s">
        <v>10</v>
      </c>
      <c r="G91" t="s">
        <v>57</v>
      </c>
      <c r="H91" s="22" t="s">
        <v>15</v>
      </c>
    </row>
    <row r="92" spans="2:8" x14ac:dyDescent="0.25">
      <c r="D92" t="s">
        <v>142</v>
      </c>
      <c r="E92" t="s">
        <v>143</v>
      </c>
      <c r="F92" t="s">
        <v>10</v>
      </c>
      <c r="G92" t="s">
        <v>57</v>
      </c>
      <c r="H92" s="22" t="s">
        <v>15</v>
      </c>
    </row>
    <row r="93" spans="2:8" x14ac:dyDescent="0.25">
      <c r="D93" t="s">
        <v>70</v>
      </c>
      <c r="E93" t="s">
        <v>105</v>
      </c>
      <c r="F93" t="s">
        <v>10</v>
      </c>
      <c r="G93" t="s">
        <v>57</v>
      </c>
      <c r="H93" s="22" t="s">
        <v>15</v>
      </c>
    </row>
    <row r="94" spans="2:8" x14ac:dyDescent="0.25">
      <c r="E94" t="s">
        <v>100</v>
      </c>
      <c r="F94" t="s">
        <v>10</v>
      </c>
      <c r="G94" t="s">
        <v>57</v>
      </c>
      <c r="H94" s="22" t="s">
        <v>15</v>
      </c>
    </row>
    <row r="95" spans="2:8" x14ac:dyDescent="0.25">
      <c r="E95" t="s">
        <v>71</v>
      </c>
      <c r="F95" t="s">
        <v>10</v>
      </c>
      <c r="G95" t="s">
        <v>57</v>
      </c>
      <c r="H95" s="22" t="s">
        <v>15</v>
      </c>
    </row>
    <row r="96" spans="2:8" x14ac:dyDescent="0.25">
      <c r="D96" t="s">
        <v>127</v>
      </c>
      <c r="E96" t="s">
        <v>126</v>
      </c>
      <c r="F96" t="s">
        <v>10</v>
      </c>
      <c r="G96" t="s">
        <v>57</v>
      </c>
      <c r="H96" s="22" t="s">
        <v>15</v>
      </c>
    </row>
    <row r="97" spans="1:8" x14ac:dyDescent="0.25">
      <c r="D97" t="s">
        <v>109</v>
      </c>
      <c r="E97" t="s">
        <v>110</v>
      </c>
      <c r="F97" t="s">
        <v>10</v>
      </c>
      <c r="G97" t="s">
        <v>57</v>
      </c>
      <c r="H97" s="22" t="s">
        <v>15</v>
      </c>
    </row>
    <row r="98" spans="1:8" x14ac:dyDescent="0.25">
      <c r="D98" t="s">
        <v>148</v>
      </c>
      <c r="E98" t="s">
        <v>149</v>
      </c>
      <c r="F98" t="s">
        <v>10</v>
      </c>
      <c r="G98" t="s">
        <v>57</v>
      </c>
      <c r="H98" s="22" t="s">
        <v>15</v>
      </c>
    </row>
    <row r="99" spans="1:8" x14ac:dyDescent="0.25">
      <c r="A99" t="s">
        <v>22</v>
      </c>
      <c r="B99" t="s">
        <v>27</v>
      </c>
      <c r="C99" t="s">
        <v>26</v>
      </c>
      <c r="D99" t="s">
        <v>61</v>
      </c>
      <c r="E99" t="s">
        <v>62</v>
      </c>
      <c r="F99" t="s">
        <v>10</v>
      </c>
      <c r="G99" t="s">
        <v>28</v>
      </c>
      <c r="H99" s="22" t="s">
        <v>15</v>
      </c>
    </row>
    <row r="100" spans="1:8" x14ac:dyDescent="0.25">
      <c r="B100" t="s">
        <v>24</v>
      </c>
      <c r="C100" t="s">
        <v>23</v>
      </c>
      <c r="D100" t="s">
        <v>61</v>
      </c>
      <c r="E100" t="s">
        <v>62</v>
      </c>
      <c r="F100" t="s">
        <v>10</v>
      </c>
      <c r="G100" t="s">
        <v>25</v>
      </c>
      <c r="H100" s="22" t="s">
        <v>15</v>
      </c>
    </row>
    <row r="101" spans="1:8" x14ac:dyDescent="0.25">
      <c r="A101" t="s">
        <v>17</v>
      </c>
      <c r="B101" t="s">
        <v>19</v>
      </c>
      <c r="C101" t="s">
        <v>18</v>
      </c>
      <c r="D101" t="s">
        <v>70</v>
      </c>
      <c r="E101" t="s">
        <v>105</v>
      </c>
      <c r="F101" t="s">
        <v>11</v>
      </c>
      <c r="G101">
        <v>40</v>
      </c>
      <c r="H101" s="22" t="s">
        <v>196</v>
      </c>
    </row>
    <row r="102" spans="1:8" x14ac:dyDescent="0.25">
      <c r="E102" t="s">
        <v>100</v>
      </c>
      <c r="F102" t="s">
        <v>11</v>
      </c>
      <c r="G102">
        <v>40</v>
      </c>
      <c r="H102" s="22" t="s">
        <v>196</v>
      </c>
    </row>
    <row r="103" spans="1:8" x14ac:dyDescent="0.25">
      <c r="E103" t="s">
        <v>71</v>
      </c>
      <c r="F103" t="s">
        <v>11</v>
      </c>
      <c r="G103">
        <v>40</v>
      </c>
      <c r="H103" s="22" t="s">
        <v>196</v>
      </c>
    </row>
    <row r="104" spans="1:8" x14ac:dyDescent="0.25">
      <c r="B104" t="s">
        <v>124</v>
      </c>
      <c r="C104" t="s">
        <v>123</v>
      </c>
      <c r="D104" t="s">
        <v>118</v>
      </c>
      <c r="E104" t="s">
        <v>119</v>
      </c>
      <c r="F104" t="s">
        <v>11</v>
      </c>
      <c r="G104">
        <v>300</v>
      </c>
      <c r="H104" s="22" t="s">
        <v>45</v>
      </c>
    </row>
    <row r="105" spans="1:8" x14ac:dyDescent="0.25">
      <c r="B105" t="s">
        <v>44</v>
      </c>
      <c r="C105" t="s">
        <v>43</v>
      </c>
      <c r="D105" t="s">
        <v>118</v>
      </c>
      <c r="E105" t="s">
        <v>119</v>
      </c>
      <c r="F105" t="s">
        <v>11</v>
      </c>
      <c r="G105">
        <v>600</v>
      </c>
      <c r="H105" s="22" t="s">
        <v>45</v>
      </c>
    </row>
    <row r="106" spans="1:8" x14ac:dyDescent="0.25">
      <c r="D106" t="s">
        <v>164</v>
      </c>
      <c r="E106" t="s">
        <v>165</v>
      </c>
      <c r="F106" t="s">
        <v>11</v>
      </c>
      <c r="G106">
        <v>2100</v>
      </c>
      <c r="H106" s="22" t="s">
        <v>45</v>
      </c>
    </row>
    <row r="107" spans="1:8" x14ac:dyDescent="0.25">
      <c r="D107" t="s">
        <v>109</v>
      </c>
      <c r="E107" t="s">
        <v>110</v>
      </c>
      <c r="F107" t="s">
        <v>11</v>
      </c>
      <c r="G107">
        <v>3300</v>
      </c>
      <c r="H107" s="22" t="s">
        <v>45</v>
      </c>
    </row>
    <row r="108" spans="1:8" x14ac:dyDescent="0.25">
      <c r="D108" t="s">
        <v>148</v>
      </c>
      <c r="E108" t="s">
        <v>149</v>
      </c>
      <c r="F108" t="s">
        <v>11</v>
      </c>
      <c r="G108">
        <v>2100</v>
      </c>
      <c r="H108" s="22" t="s">
        <v>45</v>
      </c>
    </row>
    <row r="109" spans="1:8" x14ac:dyDescent="0.25">
      <c r="B109" t="s">
        <v>49</v>
      </c>
      <c r="C109" t="s">
        <v>48</v>
      </c>
      <c r="D109" t="s">
        <v>109</v>
      </c>
      <c r="E109" t="s">
        <v>110</v>
      </c>
      <c r="F109" t="s">
        <v>11</v>
      </c>
      <c r="G109">
        <v>2100</v>
      </c>
      <c r="H109" s="22" t="s">
        <v>45</v>
      </c>
    </row>
    <row r="110" spans="1:8" x14ac:dyDescent="0.25">
      <c r="B110" t="s">
        <v>139</v>
      </c>
      <c r="C110" t="s">
        <v>138</v>
      </c>
      <c r="D110" t="s">
        <v>132</v>
      </c>
      <c r="E110" t="s">
        <v>133</v>
      </c>
      <c r="F110" t="s">
        <v>11</v>
      </c>
      <c r="G110">
        <v>20</v>
      </c>
      <c r="H110" s="22" t="s">
        <v>140</v>
      </c>
    </row>
    <row r="111" spans="1:8" x14ac:dyDescent="0.25">
      <c r="B111" t="s">
        <v>115</v>
      </c>
      <c r="C111" t="s">
        <v>114</v>
      </c>
      <c r="D111" t="s">
        <v>172</v>
      </c>
      <c r="E111" t="s">
        <v>173</v>
      </c>
      <c r="F111" t="s">
        <v>11</v>
      </c>
      <c r="G111">
        <v>150</v>
      </c>
      <c r="H111" s="22" t="s">
        <v>45</v>
      </c>
    </row>
    <row r="112" spans="1:8" x14ac:dyDescent="0.25">
      <c r="D112" t="s">
        <v>142</v>
      </c>
      <c r="E112" t="s">
        <v>143</v>
      </c>
      <c r="F112" t="s">
        <v>11</v>
      </c>
      <c r="G112">
        <v>150</v>
      </c>
      <c r="H112" s="22" t="s">
        <v>45</v>
      </c>
    </row>
    <row r="113" spans="2:8" x14ac:dyDescent="0.25">
      <c r="B113" t="s">
        <v>42</v>
      </c>
      <c r="C113" t="s">
        <v>41</v>
      </c>
      <c r="D113" t="s">
        <v>109</v>
      </c>
      <c r="E113" t="s">
        <v>110</v>
      </c>
      <c r="F113" t="s">
        <v>11</v>
      </c>
      <c r="G113" t="s">
        <v>116</v>
      </c>
      <c r="H113" s="22" t="s">
        <v>197</v>
      </c>
    </row>
    <row r="114" spans="2:8" x14ac:dyDescent="0.25">
      <c r="B114" t="s">
        <v>47</v>
      </c>
      <c r="C114" t="s">
        <v>46</v>
      </c>
      <c r="D114" t="s">
        <v>118</v>
      </c>
      <c r="E114" t="s">
        <v>119</v>
      </c>
      <c r="F114" t="s">
        <v>11</v>
      </c>
      <c r="G114">
        <v>150</v>
      </c>
      <c r="H114" s="22" t="s">
        <v>45</v>
      </c>
    </row>
    <row r="115" spans="2:8" x14ac:dyDescent="0.25">
      <c r="D115" t="s">
        <v>164</v>
      </c>
      <c r="E115" t="s">
        <v>165</v>
      </c>
      <c r="F115" t="s">
        <v>11</v>
      </c>
      <c r="G115">
        <v>1000</v>
      </c>
      <c r="H115" s="22" t="s">
        <v>45</v>
      </c>
    </row>
    <row r="116" spans="2:8" x14ac:dyDescent="0.25">
      <c r="D116" t="s">
        <v>148</v>
      </c>
      <c r="E116" t="s">
        <v>149</v>
      </c>
      <c r="F116" t="s">
        <v>11</v>
      </c>
      <c r="G116">
        <v>1000</v>
      </c>
      <c r="H116" s="22" t="s">
        <v>45</v>
      </c>
    </row>
    <row r="117" spans="2:8" x14ac:dyDescent="0.25">
      <c r="E117"/>
    </row>
    <row r="118" spans="2:8" x14ac:dyDescent="0.25">
      <c r="E118"/>
    </row>
    <row r="119" spans="2:8" x14ac:dyDescent="0.25">
      <c r="E119"/>
    </row>
    <row r="120" spans="2:8" x14ac:dyDescent="0.25">
      <c r="E120"/>
    </row>
    <row r="121" spans="2:8" x14ac:dyDescent="0.25">
      <c r="E121"/>
    </row>
    <row r="122" spans="2:8" x14ac:dyDescent="0.25">
      <c r="E122"/>
    </row>
    <row r="123" spans="2:8" x14ac:dyDescent="0.25">
      <c r="E123"/>
    </row>
    <row r="124" spans="2:8" x14ac:dyDescent="0.25">
      <c r="E124"/>
    </row>
    <row r="125" spans="2:8" x14ac:dyDescent="0.25">
      <c r="E125"/>
    </row>
    <row r="126" spans="2:8" x14ac:dyDescent="0.25">
      <c r="E126"/>
    </row>
    <row r="127" spans="2:8" x14ac:dyDescent="0.25">
      <c r="E127"/>
    </row>
    <row r="128" spans="2:8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</sheetData>
  <conditionalFormatting sqref="I3">
    <cfRule type="containsText" dxfId="136" priority="1" operator="containsText" text="отмена">
      <formula>NOT(ISERROR(SEARCH("отмена",I3)))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C577-FB01-453B-8CF5-4597C3D6073C}">
  <dimension ref="A1:H287"/>
  <sheetViews>
    <sheetView zoomScaleNormal="100" workbookViewId="0">
      <selection activeCell="F21" sqref="F21"/>
    </sheetView>
  </sheetViews>
  <sheetFormatPr defaultRowHeight="15" x14ac:dyDescent="0.25"/>
  <cols>
    <col min="1" max="1" width="24.7109375" customWidth="1"/>
    <col min="2" max="2" width="28.5703125" customWidth="1"/>
    <col min="3" max="3" width="39.85546875" customWidth="1"/>
    <col min="4" max="4" width="42.140625" customWidth="1"/>
    <col min="5" max="5" width="36.42578125" style="22" customWidth="1"/>
    <col min="6" max="6" width="20.42578125" customWidth="1"/>
    <col min="7" max="7" width="32.42578125" customWidth="1"/>
    <col min="8" max="8" width="15" style="22" bestFit="1" customWidth="1"/>
    <col min="9" max="9" width="31.7109375" bestFit="1" customWidth="1"/>
    <col min="10" max="10" width="32.140625" bestFit="1" customWidth="1"/>
    <col min="11" max="11" width="39.85546875" bestFit="1" customWidth="1"/>
    <col min="12" max="12" width="23.140625" bestFit="1" customWidth="1"/>
    <col min="13" max="13" width="30.7109375" bestFit="1" customWidth="1"/>
    <col min="14" max="14" width="26.7109375" bestFit="1" customWidth="1"/>
    <col min="15" max="15" width="24.7109375" bestFit="1" customWidth="1"/>
    <col min="16" max="16" width="27.5703125" bestFit="1" customWidth="1"/>
    <col min="17" max="17" width="19.140625" bestFit="1" customWidth="1"/>
    <col min="18" max="18" width="7.42578125" bestFit="1" customWidth="1"/>
    <col min="19" max="19" width="36.42578125" bestFit="1" customWidth="1"/>
    <col min="20" max="20" width="9.5703125" bestFit="1" customWidth="1"/>
    <col min="21" max="21" width="10" bestFit="1" customWidth="1"/>
    <col min="22" max="22" width="20.85546875" bestFit="1" customWidth="1"/>
    <col min="23" max="23" width="17.28515625" bestFit="1" customWidth="1"/>
    <col min="24" max="24" width="22.140625" bestFit="1" customWidth="1"/>
    <col min="25" max="25" width="9.28515625" bestFit="1" customWidth="1"/>
    <col min="26" max="26" width="6.5703125" bestFit="1" customWidth="1"/>
    <col min="27" max="27" width="36.7109375" bestFit="1" customWidth="1"/>
    <col min="28" max="28" width="8.42578125" bestFit="1" customWidth="1"/>
    <col min="29" max="29" width="11.85546875" bestFit="1" customWidth="1"/>
  </cols>
  <sheetData>
    <row r="1" spans="1:8" x14ac:dyDescent="0.25">
      <c r="A1" s="21" t="s">
        <v>219</v>
      </c>
      <c r="B1" t="s">
        <v>220</v>
      </c>
    </row>
    <row r="2" spans="1:8" x14ac:dyDescent="0.25">
      <c r="E2"/>
    </row>
    <row r="3" spans="1:8" x14ac:dyDescent="0.25">
      <c r="A3" s="21" t="s">
        <v>4</v>
      </c>
      <c r="B3" s="21" t="s">
        <v>6</v>
      </c>
      <c r="C3" s="21" t="s">
        <v>5</v>
      </c>
      <c r="D3" s="21" t="s">
        <v>7</v>
      </c>
      <c r="E3" s="23" t="s">
        <v>65</v>
      </c>
      <c r="H3"/>
    </row>
    <row r="4" spans="1:8" x14ac:dyDescent="0.25">
      <c r="A4" t="s">
        <v>90</v>
      </c>
      <c r="B4" t="s">
        <v>92</v>
      </c>
      <c r="C4" t="s">
        <v>91</v>
      </c>
      <c r="D4" t="s">
        <v>93</v>
      </c>
      <c r="E4" t="s">
        <v>15</v>
      </c>
      <c r="H4"/>
    </row>
    <row r="5" spans="1:8" x14ac:dyDescent="0.25">
      <c r="B5" t="s">
        <v>30</v>
      </c>
      <c r="C5" t="s">
        <v>29</v>
      </c>
      <c r="D5" t="s">
        <v>10</v>
      </c>
      <c r="E5" t="s">
        <v>15</v>
      </c>
      <c r="H5"/>
    </row>
    <row r="6" spans="1:8" x14ac:dyDescent="0.25">
      <c r="B6" t="s">
        <v>96</v>
      </c>
      <c r="C6" t="s">
        <v>95</v>
      </c>
      <c r="D6" t="s">
        <v>93</v>
      </c>
      <c r="E6" t="s">
        <v>15</v>
      </c>
      <c r="H6"/>
    </row>
    <row r="7" spans="1:8" x14ac:dyDescent="0.25">
      <c r="B7" t="s">
        <v>103</v>
      </c>
      <c r="C7" t="s">
        <v>82</v>
      </c>
      <c r="D7" t="s">
        <v>93</v>
      </c>
      <c r="E7" t="s">
        <v>15</v>
      </c>
      <c r="H7"/>
    </row>
    <row r="8" spans="1:8" x14ac:dyDescent="0.25">
      <c r="B8" t="s">
        <v>98</v>
      </c>
      <c r="C8" t="s">
        <v>97</v>
      </c>
      <c r="D8" t="s">
        <v>93</v>
      </c>
      <c r="E8" t="s">
        <v>15</v>
      </c>
      <c r="H8"/>
    </row>
    <row r="9" spans="1:8" x14ac:dyDescent="0.25">
      <c r="A9" t="s">
        <v>69</v>
      </c>
      <c r="B9" t="s">
        <v>35</v>
      </c>
      <c r="C9" t="s">
        <v>34</v>
      </c>
      <c r="D9" t="s">
        <v>10</v>
      </c>
      <c r="E9" t="s">
        <v>15</v>
      </c>
      <c r="H9"/>
    </row>
    <row r="10" spans="1:8" x14ac:dyDescent="0.25">
      <c r="B10" t="s">
        <v>39</v>
      </c>
      <c r="C10" t="s">
        <v>38</v>
      </c>
      <c r="D10" t="s">
        <v>10</v>
      </c>
      <c r="E10" t="s">
        <v>15</v>
      </c>
      <c r="H10"/>
    </row>
    <row r="11" spans="1:8" x14ac:dyDescent="0.25">
      <c r="B11" t="s">
        <v>153</v>
      </c>
      <c r="C11" t="s">
        <v>152</v>
      </c>
      <c r="D11" t="s">
        <v>10</v>
      </c>
      <c r="E11" t="s">
        <v>15</v>
      </c>
      <c r="H11"/>
    </row>
    <row r="12" spans="1:8" x14ac:dyDescent="0.25">
      <c r="B12" t="s">
        <v>157</v>
      </c>
      <c r="C12" t="s">
        <v>156</v>
      </c>
      <c r="D12" t="s">
        <v>10</v>
      </c>
      <c r="E12" t="s">
        <v>15</v>
      </c>
      <c r="H12"/>
    </row>
    <row r="13" spans="1:8" x14ac:dyDescent="0.25">
      <c r="B13" t="s">
        <v>74</v>
      </c>
      <c r="C13" t="s">
        <v>101</v>
      </c>
      <c r="D13" t="s">
        <v>10</v>
      </c>
      <c r="E13" t="s">
        <v>15</v>
      </c>
      <c r="H13"/>
    </row>
    <row r="14" spans="1:8" x14ac:dyDescent="0.25">
      <c r="B14" t="s">
        <v>77</v>
      </c>
      <c r="C14" t="s">
        <v>73</v>
      </c>
      <c r="D14" t="s">
        <v>10</v>
      </c>
      <c r="E14" t="s">
        <v>15</v>
      </c>
      <c r="H14"/>
    </row>
    <row r="15" spans="1:8" x14ac:dyDescent="0.25">
      <c r="B15" t="s">
        <v>14</v>
      </c>
      <c r="C15" t="s">
        <v>13</v>
      </c>
      <c r="D15" t="s">
        <v>10</v>
      </c>
      <c r="E15" t="s">
        <v>15</v>
      </c>
      <c r="H15"/>
    </row>
    <row r="16" spans="1:8" x14ac:dyDescent="0.25">
      <c r="A16" t="s">
        <v>79</v>
      </c>
      <c r="B16" t="s">
        <v>87</v>
      </c>
      <c r="C16" t="s">
        <v>86</v>
      </c>
      <c r="D16" t="s">
        <v>10</v>
      </c>
      <c r="E16" t="s">
        <v>15</v>
      </c>
      <c r="H16"/>
    </row>
    <row r="17" spans="1:8" x14ac:dyDescent="0.25">
      <c r="B17" t="s">
        <v>84</v>
      </c>
      <c r="C17" t="s">
        <v>83</v>
      </c>
      <c r="D17" t="s">
        <v>10</v>
      </c>
      <c r="E17" t="s">
        <v>15</v>
      </c>
      <c r="H17"/>
    </row>
    <row r="18" spans="1:8" x14ac:dyDescent="0.25">
      <c r="B18" t="s">
        <v>89</v>
      </c>
      <c r="C18" t="s">
        <v>88</v>
      </c>
      <c r="D18" t="s">
        <v>10</v>
      </c>
      <c r="E18" t="s">
        <v>15</v>
      </c>
      <c r="H18"/>
    </row>
    <row r="19" spans="1:8" x14ac:dyDescent="0.25">
      <c r="B19" t="s">
        <v>81</v>
      </c>
      <c r="C19" t="s">
        <v>80</v>
      </c>
      <c r="D19" t="s">
        <v>10</v>
      </c>
      <c r="E19" t="s">
        <v>15</v>
      </c>
      <c r="H19"/>
    </row>
    <row r="20" spans="1:8" x14ac:dyDescent="0.25">
      <c r="A20" t="s">
        <v>51</v>
      </c>
      <c r="B20" t="s">
        <v>53</v>
      </c>
      <c r="C20" t="s">
        <v>52</v>
      </c>
      <c r="D20" t="s">
        <v>10</v>
      </c>
      <c r="E20" t="s">
        <v>15</v>
      </c>
      <c r="H20"/>
    </row>
    <row r="21" spans="1:8" x14ac:dyDescent="0.25">
      <c r="B21" t="s">
        <v>56</v>
      </c>
      <c r="C21" t="s">
        <v>55</v>
      </c>
      <c r="D21" t="s">
        <v>10</v>
      </c>
      <c r="E21" t="s">
        <v>15</v>
      </c>
      <c r="H21"/>
    </row>
    <row r="22" spans="1:8" x14ac:dyDescent="0.25">
      <c r="A22" t="s">
        <v>22</v>
      </c>
      <c r="B22" t="s">
        <v>27</v>
      </c>
      <c r="C22" t="s">
        <v>26</v>
      </c>
      <c r="D22" t="s">
        <v>10</v>
      </c>
      <c r="E22" t="s">
        <v>15</v>
      </c>
      <c r="H22"/>
    </row>
    <row r="23" spans="1:8" x14ac:dyDescent="0.25">
      <c r="B23" t="s">
        <v>24</v>
      </c>
      <c r="C23" t="s">
        <v>23</v>
      </c>
      <c r="D23" t="s">
        <v>10</v>
      </c>
      <c r="E23" t="s">
        <v>15</v>
      </c>
      <c r="H23"/>
    </row>
    <row r="24" spans="1:8" x14ac:dyDescent="0.25">
      <c r="A24" t="s">
        <v>17</v>
      </c>
      <c r="B24" t="s">
        <v>19</v>
      </c>
      <c r="C24" t="s">
        <v>18</v>
      </c>
      <c r="D24" t="s">
        <v>11</v>
      </c>
      <c r="E24" t="s">
        <v>196</v>
      </c>
      <c r="H24"/>
    </row>
    <row r="25" spans="1:8" x14ac:dyDescent="0.25">
      <c r="B25" t="s">
        <v>124</v>
      </c>
      <c r="C25" t="s">
        <v>123</v>
      </c>
      <c r="D25" t="s">
        <v>11</v>
      </c>
      <c r="E25" t="s">
        <v>45</v>
      </c>
      <c r="H25"/>
    </row>
    <row r="26" spans="1:8" x14ac:dyDescent="0.25">
      <c r="B26" t="s">
        <v>44</v>
      </c>
      <c r="C26" t="s">
        <v>43</v>
      </c>
      <c r="D26" t="s">
        <v>11</v>
      </c>
      <c r="E26" t="s">
        <v>45</v>
      </c>
      <c r="H26"/>
    </row>
    <row r="27" spans="1:8" x14ac:dyDescent="0.25">
      <c r="B27" t="s">
        <v>49</v>
      </c>
      <c r="C27" t="s">
        <v>48</v>
      </c>
      <c r="D27" t="s">
        <v>11</v>
      </c>
      <c r="E27" t="s">
        <v>45</v>
      </c>
      <c r="H27"/>
    </row>
    <row r="28" spans="1:8" x14ac:dyDescent="0.25">
      <c r="B28" t="s">
        <v>139</v>
      </c>
      <c r="C28" t="s">
        <v>138</v>
      </c>
      <c r="D28" t="s">
        <v>11</v>
      </c>
      <c r="E28" t="s">
        <v>140</v>
      </c>
      <c r="H28"/>
    </row>
    <row r="29" spans="1:8" x14ac:dyDescent="0.25">
      <c r="B29" t="s">
        <v>115</v>
      </c>
      <c r="C29" t="s">
        <v>114</v>
      </c>
      <c r="D29" t="s">
        <v>11</v>
      </c>
      <c r="E29" t="s">
        <v>45</v>
      </c>
      <c r="H29"/>
    </row>
    <row r="30" spans="1:8" x14ac:dyDescent="0.25">
      <c r="B30" t="s">
        <v>42</v>
      </c>
      <c r="C30" t="s">
        <v>41</v>
      </c>
      <c r="D30" t="s">
        <v>11</v>
      </c>
      <c r="E30" t="s">
        <v>197</v>
      </c>
      <c r="H30"/>
    </row>
    <row r="31" spans="1:8" x14ac:dyDescent="0.25">
      <c r="B31" t="s">
        <v>47</v>
      </c>
      <c r="C31" t="s">
        <v>46</v>
      </c>
      <c r="D31" t="s">
        <v>11</v>
      </c>
      <c r="E31" t="s">
        <v>45</v>
      </c>
      <c r="H31"/>
    </row>
    <row r="32" spans="1:8" x14ac:dyDescent="0.25">
      <c r="E32"/>
      <c r="H32"/>
    </row>
    <row r="33" spans="5:8" x14ac:dyDescent="0.25">
      <c r="E33"/>
      <c r="H33"/>
    </row>
    <row r="34" spans="5:8" x14ac:dyDescent="0.25">
      <c r="E34"/>
      <c r="H34"/>
    </row>
    <row r="35" spans="5:8" x14ac:dyDescent="0.25">
      <c r="E35"/>
      <c r="H35"/>
    </row>
    <row r="36" spans="5:8" x14ac:dyDescent="0.25">
      <c r="E36"/>
      <c r="H36"/>
    </row>
    <row r="37" spans="5:8" x14ac:dyDescent="0.25">
      <c r="E37"/>
      <c r="H37"/>
    </row>
    <row r="38" spans="5:8" x14ac:dyDescent="0.25">
      <c r="E38"/>
      <c r="H38"/>
    </row>
    <row r="39" spans="5:8" x14ac:dyDescent="0.25">
      <c r="E39"/>
      <c r="H39"/>
    </row>
    <row r="40" spans="5:8" x14ac:dyDescent="0.25">
      <c r="E40"/>
      <c r="H40"/>
    </row>
    <row r="41" spans="5:8" x14ac:dyDescent="0.25">
      <c r="E41"/>
      <c r="H41"/>
    </row>
    <row r="42" spans="5:8" x14ac:dyDescent="0.25">
      <c r="E42"/>
      <c r="H42"/>
    </row>
    <row r="43" spans="5:8" x14ac:dyDescent="0.25">
      <c r="E43"/>
      <c r="H43"/>
    </row>
    <row r="44" spans="5:8" x14ac:dyDescent="0.25">
      <c r="E44"/>
      <c r="H44"/>
    </row>
    <row r="45" spans="5:8" x14ac:dyDescent="0.25">
      <c r="E45"/>
      <c r="H45"/>
    </row>
    <row r="46" spans="5:8" x14ac:dyDescent="0.25">
      <c r="E46"/>
      <c r="H46"/>
    </row>
    <row r="47" spans="5:8" x14ac:dyDescent="0.25">
      <c r="E47"/>
      <c r="H47"/>
    </row>
    <row r="48" spans="5:8" x14ac:dyDescent="0.25">
      <c r="E48"/>
      <c r="H48"/>
    </row>
    <row r="49" spans="5:8" x14ac:dyDescent="0.25">
      <c r="E49"/>
      <c r="H49"/>
    </row>
    <row r="50" spans="5:8" x14ac:dyDescent="0.25">
      <c r="E50"/>
      <c r="H50"/>
    </row>
    <row r="51" spans="5:8" x14ac:dyDescent="0.25">
      <c r="E51"/>
      <c r="H51"/>
    </row>
    <row r="52" spans="5:8" x14ac:dyDescent="0.25">
      <c r="E52"/>
      <c r="H52"/>
    </row>
    <row r="53" spans="5:8" x14ac:dyDescent="0.25">
      <c r="E53"/>
      <c r="H53"/>
    </row>
    <row r="54" spans="5:8" x14ac:dyDescent="0.25">
      <c r="E54"/>
      <c r="H54"/>
    </row>
    <row r="55" spans="5:8" x14ac:dyDescent="0.25">
      <c r="E55"/>
      <c r="H55"/>
    </row>
    <row r="56" spans="5:8" x14ac:dyDescent="0.25">
      <c r="E56"/>
      <c r="H56"/>
    </row>
    <row r="57" spans="5:8" x14ac:dyDescent="0.25">
      <c r="E57"/>
      <c r="H57"/>
    </row>
    <row r="58" spans="5:8" x14ac:dyDescent="0.25">
      <c r="E58"/>
      <c r="H58"/>
    </row>
    <row r="59" spans="5:8" x14ac:dyDescent="0.25">
      <c r="E59"/>
      <c r="H59"/>
    </row>
    <row r="60" spans="5:8" x14ac:dyDescent="0.25">
      <c r="E60"/>
      <c r="H60"/>
    </row>
    <row r="61" spans="5:8" x14ac:dyDescent="0.25">
      <c r="E61"/>
      <c r="H61"/>
    </row>
    <row r="62" spans="5:8" x14ac:dyDescent="0.25">
      <c r="E62"/>
      <c r="H62"/>
    </row>
    <row r="63" spans="5:8" x14ac:dyDescent="0.25">
      <c r="E63"/>
      <c r="H63"/>
    </row>
    <row r="64" spans="5:8" x14ac:dyDescent="0.25">
      <c r="E64"/>
      <c r="H64"/>
    </row>
    <row r="65" spans="5:8" x14ac:dyDescent="0.25">
      <c r="E65"/>
      <c r="H65"/>
    </row>
    <row r="66" spans="5:8" x14ac:dyDescent="0.25">
      <c r="E66"/>
      <c r="H66"/>
    </row>
    <row r="67" spans="5:8" x14ac:dyDescent="0.25">
      <c r="E67"/>
      <c r="H67"/>
    </row>
    <row r="68" spans="5:8" x14ac:dyDescent="0.25">
      <c r="E68"/>
      <c r="H68"/>
    </row>
    <row r="69" spans="5:8" x14ac:dyDescent="0.25">
      <c r="E69"/>
      <c r="H69"/>
    </row>
    <row r="70" spans="5:8" x14ac:dyDescent="0.25">
      <c r="E70"/>
      <c r="H70"/>
    </row>
    <row r="71" spans="5:8" x14ac:dyDescent="0.25">
      <c r="E71"/>
      <c r="H71"/>
    </row>
    <row r="72" spans="5:8" x14ac:dyDescent="0.25">
      <c r="E72"/>
      <c r="H72"/>
    </row>
    <row r="73" spans="5:8" x14ac:dyDescent="0.25">
      <c r="E73"/>
      <c r="H73"/>
    </row>
    <row r="74" spans="5:8" x14ac:dyDescent="0.25">
      <c r="E74"/>
      <c r="H74"/>
    </row>
    <row r="75" spans="5:8" x14ac:dyDescent="0.25">
      <c r="E75"/>
      <c r="H75"/>
    </row>
    <row r="76" spans="5:8" x14ac:dyDescent="0.25">
      <c r="E76"/>
      <c r="H76"/>
    </row>
    <row r="77" spans="5:8" x14ac:dyDescent="0.25">
      <c r="E77"/>
      <c r="H77"/>
    </row>
    <row r="78" spans="5:8" x14ac:dyDescent="0.25">
      <c r="E78"/>
      <c r="H78"/>
    </row>
    <row r="79" spans="5:8" x14ac:dyDescent="0.25">
      <c r="E79"/>
      <c r="H79"/>
    </row>
    <row r="80" spans="5:8" x14ac:dyDescent="0.25">
      <c r="E80"/>
      <c r="H80"/>
    </row>
    <row r="81" spans="5:8" x14ac:dyDescent="0.25">
      <c r="E81"/>
      <c r="H81"/>
    </row>
    <row r="82" spans="5:8" x14ac:dyDescent="0.25">
      <c r="E82"/>
      <c r="H82"/>
    </row>
    <row r="83" spans="5:8" x14ac:dyDescent="0.25">
      <c r="E83"/>
      <c r="H83"/>
    </row>
    <row r="84" spans="5:8" x14ac:dyDescent="0.25">
      <c r="E84"/>
      <c r="H84"/>
    </row>
    <row r="85" spans="5:8" x14ac:dyDescent="0.25">
      <c r="E85"/>
      <c r="H85"/>
    </row>
    <row r="86" spans="5:8" x14ac:dyDescent="0.25">
      <c r="E86"/>
      <c r="H86"/>
    </row>
    <row r="87" spans="5:8" x14ac:dyDescent="0.25">
      <c r="E87"/>
      <c r="H87"/>
    </row>
    <row r="88" spans="5:8" x14ac:dyDescent="0.25">
      <c r="E88"/>
      <c r="H88"/>
    </row>
    <row r="89" spans="5:8" x14ac:dyDescent="0.25">
      <c r="E89"/>
      <c r="H89"/>
    </row>
    <row r="90" spans="5:8" x14ac:dyDescent="0.25">
      <c r="E90"/>
      <c r="H90"/>
    </row>
    <row r="91" spans="5:8" x14ac:dyDescent="0.25">
      <c r="E91"/>
      <c r="H91"/>
    </row>
    <row r="92" spans="5:8" x14ac:dyDescent="0.25">
      <c r="E92"/>
      <c r="H92"/>
    </row>
    <row r="93" spans="5:8" x14ac:dyDescent="0.25">
      <c r="E93"/>
      <c r="H93"/>
    </row>
    <row r="94" spans="5:8" x14ac:dyDescent="0.25">
      <c r="E94"/>
      <c r="H94"/>
    </row>
    <row r="95" spans="5:8" x14ac:dyDescent="0.25">
      <c r="E95"/>
      <c r="H95"/>
    </row>
    <row r="96" spans="5:8" x14ac:dyDescent="0.25">
      <c r="E96"/>
      <c r="H96"/>
    </row>
    <row r="97" spans="5:8" x14ac:dyDescent="0.25">
      <c r="E97"/>
      <c r="H97"/>
    </row>
    <row r="98" spans="5:8" x14ac:dyDescent="0.25">
      <c r="E98"/>
      <c r="H98"/>
    </row>
    <row r="99" spans="5:8" x14ac:dyDescent="0.25">
      <c r="E99"/>
      <c r="H99"/>
    </row>
    <row r="100" spans="5:8" x14ac:dyDescent="0.25">
      <c r="E100"/>
      <c r="H100"/>
    </row>
    <row r="101" spans="5:8" x14ac:dyDescent="0.25">
      <c r="E101"/>
      <c r="H101"/>
    </row>
    <row r="102" spans="5:8" x14ac:dyDescent="0.25">
      <c r="E102"/>
      <c r="H102"/>
    </row>
    <row r="103" spans="5:8" x14ac:dyDescent="0.25">
      <c r="E103"/>
      <c r="H103"/>
    </row>
    <row r="104" spans="5:8" x14ac:dyDescent="0.25">
      <c r="E104"/>
      <c r="H104"/>
    </row>
    <row r="105" spans="5:8" x14ac:dyDescent="0.25">
      <c r="E105"/>
      <c r="H105"/>
    </row>
    <row r="106" spans="5:8" x14ac:dyDescent="0.25">
      <c r="E106"/>
      <c r="H106"/>
    </row>
    <row r="107" spans="5:8" x14ac:dyDescent="0.25">
      <c r="E107"/>
      <c r="H107"/>
    </row>
    <row r="108" spans="5:8" x14ac:dyDescent="0.25">
      <c r="E108"/>
      <c r="H108"/>
    </row>
    <row r="109" spans="5:8" x14ac:dyDescent="0.25">
      <c r="E109"/>
      <c r="H109"/>
    </row>
    <row r="110" spans="5:8" x14ac:dyDescent="0.25">
      <c r="E110"/>
      <c r="H110"/>
    </row>
    <row r="111" spans="5:8" x14ac:dyDescent="0.25">
      <c r="E111"/>
      <c r="H111"/>
    </row>
    <row r="112" spans="5:8" x14ac:dyDescent="0.25">
      <c r="E112"/>
      <c r="H112"/>
    </row>
    <row r="113" spans="5:8" x14ac:dyDescent="0.25">
      <c r="E113"/>
      <c r="H113"/>
    </row>
    <row r="114" spans="5:8" x14ac:dyDescent="0.25">
      <c r="E114"/>
      <c r="H114"/>
    </row>
    <row r="115" spans="5:8" x14ac:dyDescent="0.25">
      <c r="E115"/>
      <c r="H115"/>
    </row>
    <row r="116" spans="5:8" x14ac:dyDescent="0.25">
      <c r="E116"/>
      <c r="H116"/>
    </row>
    <row r="117" spans="5:8" x14ac:dyDescent="0.25">
      <c r="E117"/>
    </row>
    <row r="118" spans="5:8" x14ac:dyDescent="0.25">
      <c r="E118"/>
    </row>
    <row r="119" spans="5:8" x14ac:dyDescent="0.25">
      <c r="E119"/>
    </row>
    <row r="120" spans="5:8" x14ac:dyDescent="0.25">
      <c r="E120"/>
    </row>
    <row r="121" spans="5:8" x14ac:dyDescent="0.25">
      <c r="E121"/>
    </row>
    <row r="122" spans="5:8" x14ac:dyDescent="0.25">
      <c r="E122"/>
    </row>
    <row r="123" spans="5:8" x14ac:dyDescent="0.25">
      <c r="E123"/>
    </row>
    <row r="124" spans="5:8" x14ac:dyDescent="0.25">
      <c r="E124"/>
    </row>
    <row r="125" spans="5:8" x14ac:dyDescent="0.25">
      <c r="E125"/>
    </row>
    <row r="126" spans="5:8" x14ac:dyDescent="0.25">
      <c r="E126"/>
    </row>
    <row r="127" spans="5:8" x14ac:dyDescent="0.25">
      <c r="E127"/>
    </row>
    <row r="128" spans="5:8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</sheetData>
  <conditionalFormatting sqref="I3">
    <cfRule type="containsText" dxfId="20" priority="1" operator="containsText" text="отмена">
      <formula>NOT(ISERROR(SEARCH("отмена",I3)))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5136-9A4C-44B9-AF0F-A7072E402955}">
  <dimension ref="A1:H287"/>
  <sheetViews>
    <sheetView zoomScaleNormal="100" workbookViewId="0">
      <selection activeCell="B7" sqref="B4:B15"/>
      <pivotSelection pane="bottomRight" showHeader="1" axis="axisRow" dimension="1" activeRow="6" activeCol="1" previousRow="6" previousCol="1" click="1" r:id="rId1">
        <pivotArea dataOnly="0" labelOnly="1" outline="0" fieldPosition="0">
          <references count="1">
            <reference field="5" count="0"/>
          </references>
        </pivotArea>
      </pivotSelection>
    </sheetView>
  </sheetViews>
  <sheetFormatPr defaultRowHeight="15" x14ac:dyDescent="0.25"/>
  <cols>
    <col min="1" max="1" width="24.7109375" customWidth="1"/>
    <col min="2" max="2" width="127.5703125" style="55" customWidth="1"/>
    <col min="3" max="3" width="39.85546875" customWidth="1"/>
    <col min="4" max="4" width="42.140625" customWidth="1"/>
    <col min="5" max="5" width="36.42578125" style="22" customWidth="1"/>
    <col min="6" max="6" width="20.42578125" customWidth="1"/>
    <col min="7" max="7" width="32.42578125" customWidth="1"/>
    <col min="8" max="8" width="15" style="22" bestFit="1" customWidth="1"/>
    <col min="9" max="9" width="31.7109375" bestFit="1" customWidth="1"/>
    <col min="10" max="10" width="32.140625" bestFit="1" customWidth="1"/>
    <col min="11" max="11" width="39.85546875" bestFit="1" customWidth="1"/>
    <col min="12" max="12" width="23.140625" bestFit="1" customWidth="1"/>
    <col min="13" max="13" width="30.7109375" bestFit="1" customWidth="1"/>
    <col min="14" max="14" width="26.7109375" bestFit="1" customWidth="1"/>
    <col min="15" max="15" width="24.7109375" bestFit="1" customWidth="1"/>
    <col min="16" max="16" width="27.5703125" bestFit="1" customWidth="1"/>
    <col min="17" max="17" width="19.140625" bestFit="1" customWidth="1"/>
    <col min="18" max="18" width="7.42578125" bestFit="1" customWidth="1"/>
    <col min="19" max="19" width="36.42578125" bestFit="1" customWidth="1"/>
    <col min="20" max="20" width="9.5703125" bestFit="1" customWidth="1"/>
    <col min="21" max="21" width="10" bestFit="1" customWidth="1"/>
    <col min="22" max="22" width="20.85546875" bestFit="1" customWidth="1"/>
    <col min="23" max="23" width="17.28515625" bestFit="1" customWidth="1"/>
    <col min="24" max="24" width="22.140625" bestFit="1" customWidth="1"/>
    <col min="25" max="25" width="9.28515625" bestFit="1" customWidth="1"/>
    <col min="26" max="26" width="6.5703125" bestFit="1" customWidth="1"/>
    <col min="27" max="27" width="36.7109375" bestFit="1" customWidth="1"/>
    <col min="28" max="28" width="8.42578125" bestFit="1" customWidth="1"/>
    <col min="29" max="29" width="11.85546875" bestFit="1" customWidth="1"/>
  </cols>
  <sheetData>
    <row r="1" spans="1:8" x14ac:dyDescent="0.25">
      <c r="A1" s="21" t="s">
        <v>219</v>
      </c>
      <c r="B1" s="55" t="s">
        <v>220</v>
      </c>
    </row>
    <row r="2" spans="1:8" x14ac:dyDescent="0.25">
      <c r="E2"/>
    </row>
    <row r="3" spans="1:8" x14ac:dyDescent="0.25">
      <c r="A3" s="21" t="s">
        <v>60</v>
      </c>
      <c r="B3" s="56" t="s">
        <v>2</v>
      </c>
      <c r="E3"/>
      <c r="H3"/>
    </row>
    <row r="4" spans="1:8" x14ac:dyDescent="0.25">
      <c r="A4" t="s">
        <v>66</v>
      </c>
      <c r="B4" s="55" t="s">
        <v>68</v>
      </c>
      <c r="E4"/>
      <c r="H4"/>
    </row>
    <row r="5" spans="1:8" x14ac:dyDescent="0.25">
      <c r="A5" t="s">
        <v>118</v>
      </c>
      <c r="B5" s="55" t="s">
        <v>120</v>
      </c>
      <c r="E5"/>
      <c r="H5"/>
    </row>
    <row r="6" spans="1:8" x14ac:dyDescent="0.25">
      <c r="A6" t="s">
        <v>172</v>
      </c>
      <c r="B6" s="55" t="s">
        <v>171</v>
      </c>
      <c r="E6"/>
      <c r="H6"/>
    </row>
    <row r="7" spans="1:8" x14ac:dyDescent="0.25">
      <c r="A7" t="s">
        <v>164</v>
      </c>
      <c r="B7" s="55" t="s">
        <v>166</v>
      </c>
      <c r="E7"/>
      <c r="H7"/>
    </row>
    <row r="8" spans="1:8" x14ac:dyDescent="0.25">
      <c r="A8" t="s">
        <v>180</v>
      </c>
      <c r="B8" s="55" t="s">
        <v>182</v>
      </c>
      <c r="E8"/>
      <c r="H8"/>
    </row>
    <row r="9" spans="1:8" x14ac:dyDescent="0.25">
      <c r="A9" t="s">
        <v>132</v>
      </c>
      <c r="B9" s="55" t="s">
        <v>134</v>
      </c>
      <c r="E9"/>
      <c r="H9"/>
    </row>
    <row r="10" spans="1:8" x14ac:dyDescent="0.25">
      <c r="A10" t="s">
        <v>142</v>
      </c>
      <c r="B10" s="55" t="s">
        <v>144</v>
      </c>
      <c r="E10"/>
      <c r="H10"/>
    </row>
    <row r="11" spans="1:8" x14ac:dyDescent="0.25">
      <c r="A11" t="s">
        <v>70</v>
      </c>
      <c r="B11" s="55" t="s">
        <v>106</v>
      </c>
      <c r="E11"/>
      <c r="H11"/>
    </row>
    <row r="12" spans="1:8" x14ac:dyDescent="0.25">
      <c r="B12" s="55" t="s">
        <v>222</v>
      </c>
      <c r="E12"/>
      <c r="H12"/>
    </row>
    <row r="13" spans="1:8" x14ac:dyDescent="0.25">
      <c r="A13" t="s">
        <v>127</v>
      </c>
      <c r="B13" s="55" t="s">
        <v>128</v>
      </c>
      <c r="E13"/>
      <c r="H13"/>
    </row>
    <row r="14" spans="1:8" x14ac:dyDescent="0.25">
      <c r="A14" t="s">
        <v>109</v>
      </c>
      <c r="B14" s="55" t="s">
        <v>111</v>
      </c>
      <c r="E14"/>
      <c r="H14"/>
    </row>
    <row r="15" spans="1:8" x14ac:dyDescent="0.25">
      <c r="A15" t="s">
        <v>148</v>
      </c>
      <c r="B15" s="55" t="s">
        <v>150</v>
      </c>
      <c r="E15"/>
      <c r="H15"/>
    </row>
    <row r="16" spans="1:8" x14ac:dyDescent="0.25">
      <c r="B16"/>
      <c r="E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2:8" x14ac:dyDescent="0.25">
      <c r="B33"/>
      <c r="E33"/>
      <c r="H33"/>
    </row>
    <row r="34" spans="2:8" x14ac:dyDescent="0.25">
      <c r="B34"/>
      <c r="E34"/>
      <c r="H34"/>
    </row>
    <row r="35" spans="2:8" x14ac:dyDescent="0.25">
      <c r="B35"/>
      <c r="E35"/>
      <c r="H35"/>
    </row>
    <row r="36" spans="2:8" x14ac:dyDescent="0.25">
      <c r="B36"/>
      <c r="E36"/>
      <c r="H36"/>
    </row>
    <row r="37" spans="2:8" x14ac:dyDescent="0.25">
      <c r="B37"/>
      <c r="E37"/>
      <c r="H37"/>
    </row>
    <row r="38" spans="2:8" x14ac:dyDescent="0.25">
      <c r="B38"/>
      <c r="E38"/>
      <c r="H38"/>
    </row>
    <row r="39" spans="2:8" x14ac:dyDescent="0.25">
      <c r="E39"/>
      <c r="H39"/>
    </row>
    <row r="40" spans="2:8" x14ac:dyDescent="0.25">
      <c r="E40"/>
      <c r="H40"/>
    </row>
    <row r="41" spans="2:8" x14ac:dyDescent="0.25">
      <c r="E41"/>
      <c r="H41"/>
    </row>
    <row r="42" spans="2:8" x14ac:dyDescent="0.25">
      <c r="E42"/>
      <c r="H42"/>
    </row>
    <row r="43" spans="2:8" x14ac:dyDescent="0.25">
      <c r="E43"/>
      <c r="H43"/>
    </row>
    <row r="44" spans="2:8" x14ac:dyDescent="0.25">
      <c r="E44"/>
      <c r="H44"/>
    </row>
    <row r="45" spans="2:8" x14ac:dyDescent="0.25">
      <c r="E45"/>
      <c r="H45"/>
    </row>
    <row r="46" spans="2:8" x14ac:dyDescent="0.25">
      <c r="E46"/>
      <c r="H46"/>
    </row>
    <row r="47" spans="2:8" x14ac:dyDescent="0.25">
      <c r="E47"/>
      <c r="H47"/>
    </row>
    <row r="48" spans="2:8" x14ac:dyDescent="0.25">
      <c r="E48"/>
      <c r="H48"/>
    </row>
    <row r="49" spans="5:8" x14ac:dyDescent="0.25">
      <c r="E49"/>
      <c r="H49"/>
    </row>
    <row r="50" spans="5:8" x14ac:dyDescent="0.25">
      <c r="E50"/>
      <c r="H50"/>
    </row>
    <row r="51" spans="5:8" x14ac:dyDescent="0.25">
      <c r="E51"/>
      <c r="H51"/>
    </row>
    <row r="52" spans="5:8" x14ac:dyDescent="0.25">
      <c r="E52"/>
      <c r="H52"/>
    </row>
    <row r="53" spans="5:8" x14ac:dyDescent="0.25">
      <c r="E53"/>
      <c r="H53"/>
    </row>
    <row r="54" spans="5:8" x14ac:dyDescent="0.25">
      <c r="E54"/>
      <c r="H54"/>
    </row>
    <row r="55" spans="5:8" x14ac:dyDescent="0.25">
      <c r="E55"/>
      <c r="H55"/>
    </row>
    <row r="56" spans="5:8" x14ac:dyDescent="0.25">
      <c r="E56"/>
      <c r="H56"/>
    </row>
    <row r="57" spans="5:8" x14ac:dyDescent="0.25">
      <c r="E57"/>
      <c r="H57"/>
    </row>
    <row r="58" spans="5:8" x14ac:dyDescent="0.25">
      <c r="E58"/>
      <c r="H58"/>
    </row>
    <row r="59" spans="5:8" x14ac:dyDescent="0.25">
      <c r="E59"/>
      <c r="H59"/>
    </row>
    <row r="60" spans="5:8" x14ac:dyDescent="0.25">
      <c r="E60"/>
      <c r="H60"/>
    </row>
    <row r="61" spans="5:8" x14ac:dyDescent="0.25">
      <c r="E61"/>
      <c r="H61"/>
    </row>
    <row r="62" spans="5:8" x14ac:dyDescent="0.25">
      <c r="E62"/>
      <c r="H62"/>
    </row>
    <row r="63" spans="5:8" x14ac:dyDescent="0.25">
      <c r="E63"/>
      <c r="H63"/>
    </row>
    <row r="64" spans="5:8" x14ac:dyDescent="0.25">
      <c r="E64"/>
      <c r="H64"/>
    </row>
    <row r="65" spans="5:8" x14ac:dyDescent="0.25">
      <c r="E65"/>
      <c r="H65"/>
    </row>
    <row r="66" spans="5:8" x14ac:dyDescent="0.25">
      <c r="E66"/>
      <c r="H66"/>
    </row>
    <row r="67" spans="5:8" x14ac:dyDescent="0.25">
      <c r="E67"/>
      <c r="H67"/>
    </row>
    <row r="68" spans="5:8" x14ac:dyDescent="0.25">
      <c r="E68"/>
      <c r="H68"/>
    </row>
    <row r="69" spans="5:8" x14ac:dyDescent="0.25">
      <c r="E69"/>
      <c r="H69"/>
    </row>
    <row r="70" spans="5:8" x14ac:dyDescent="0.25">
      <c r="E70"/>
      <c r="H70"/>
    </row>
    <row r="71" spans="5:8" x14ac:dyDescent="0.25">
      <c r="E71"/>
      <c r="H71"/>
    </row>
    <row r="72" spans="5:8" x14ac:dyDescent="0.25">
      <c r="E72"/>
      <c r="H72"/>
    </row>
    <row r="73" spans="5:8" x14ac:dyDescent="0.25">
      <c r="E73"/>
      <c r="H73"/>
    </row>
    <row r="74" spans="5:8" x14ac:dyDescent="0.25">
      <c r="E74"/>
      <c r="H74"/>
    </row>
    <row r="75" spans="5:8" x14ac:dyDescent="0.25">
      <c r="E75"/>
      <c r="H75"/>
    </row>
    <row r="76" spans="5:8" x14ac:dyDescent="0.25">
      <c r="E76"/>
      <c r="H76"/>
    </row>
    <row r="77" spans="5:8" x14ac:dyDescent="0.25">
      <c r="E77"/>
      <c r="H77"/>
    </row>
    <row r="78" spans="5:8" x14ac:dyDescent="0.25">
      <c r="E78"/>
      <c r="H78"/>
    </row>
    <row r="79" spans="5:8" x14ac:dyDescent="0.25">
      <c r="E79"/>
      <c r="H79"/>
    </row>
    <row r="80" spans="5:8" x14ac:dyDescent="0.25">
      <c r="E80"/>
      <c r="H80"/>
    </row>
    <row r="81" spans="5:8" x14ac:dyDescent="0.25">
      <c r="E81"/>
      <c r="H81"/>
    </row>
    <row r="82" spans="5:8" x14ac:dyDescent="0.25">
      <c r="E82"/>
      <c r="H82"/>
    </row>
    <row r="83" spans="5:8" x14ac:dyDescent="0.25">
      <c r="E83"/>
      <c r="H83"/>
    </row>
    <row r="84" spans="5:8" x14ac:dyDescent="0.25">
      <c r="E84"/>
      <c r="H84"/>
    </row>
    <row r="85" spans="5:8" x14ac:dyDescent="0.25">
      <c r="E85"/>
      <c r="H85"/>
    </row>
    <row r="86" spans="5:8" x14ac:dyDescent="0.25">
      <c r="E86"/>
      <c r="H86"/>
    </row>
    <row r="87" spans="5:8" x14ac:dyDescent="0.25">
      <c r="E87"/>
      <c r="H87"/>
    </row>
    <row r="88" spans="5:8" x14ac:dyDescent="0.25">
      <c r="E88"/>
      <c r="H88"/>
    </row>
    <row r="89" spans="5:8" x14ac:dyDescent="0.25">
      <c r="E89"/>
      <c r="H89"/>
    </row>
    <row r="90" spans="5:8" x14ac:dyDescent="0.25">
      <c r="E90"/>
      <c r="H90"/>
    </row>
    <row r="91" spans="5:8" x14ac:dyDescent="0.25">
      <c r="E91"/>
      <c r="H91"/>
    </row>
    <row r="92" spans="5:8" x14ac:dyDescent="0.25">
      <c r="E92"/>
      <c r="H92"/>
    </row>
    <row r="93" spans="5:8" x14ac:dyDescent="0.25">
      <c r="E93"/>
      <c r="H93"/>
    </row>
    <row r="94" spans="5:8" x14ac:dyDescent="0.25">
      <c r="E94"/>
      <c r="H94"/>
    </row>
    <row r="95" spans="5:8" x14ac:dyDescent="0.25">
      <c r="E95"/>
      <c r="H95"/>
    </row>
    <row r="96" spans="5:8" x14ac:dyDescent="0.25">
      <c r="E96"/>
      <c r="H96"/>
    </row>
    <row r="97" spans="5:8" x14ac:dyDescent="0.25">
      <c r="E97"/>
      <c r="H97"/>
    </row>
    <row r="98" spans="5:8" x14ac:dyDescent="0.25">
      <c r="E98"/>
      <c r="H98"/>
    </row>
    <row r="99" spans="5:8" x14ac:dyDescent="0.25">
      <c r="E99"/>
      <c r="H99"/>
    </row>
    <row r="100" spans="5:8" x14ac:dyDescent="0.25">
      <c r="E100"/>
      <c r="H100"/>
    </row>
    <row r="101" spans="5:8" x14ac:dyDescent="0.25">
      <c r="E101"/>
      <c r="H101"/>
    </row>
    <row r="102" spans="5:8" x14ac:dyDescent="0.25">
      <c r="E102"/>
      <c r="H102"/>
    </row>
    <row r="103" spans="5:8" x14ac:dyDescent="0.25">
      <c r="E103"/>
      <c r="H103"/>
    </row>
    <row r="104" spans="5:8" x14ac:dyDescent="0.25">
      <c r="E104"/>
      <c r="H104"/>
    </row>
    <row r="105" spans="5:8" x14ac:dyDescent="0.25">
      <c r="E105"/>
      <c r="H105"/>
    </row>
    <row r="106" spans="5:8" x14ac:dyDescent="0.25">
      <c r="E106"/>
      <c r="H106"/>
    </row>
    <row r="107" spans="5:8" x14ac:dyDescent="0.25">
      <c r="E107"/>
      <c r="H107"/>
    </row>
    <row r="108" spans="5:8" x14ac:dyDescent="0.25">
      <c r="E108"/>
      <c r="H108"/>
    </row>
    <row r="109" spans="5:8" x14ac:dyDescent="0.25">
      <c r="E109"/>
      <c r="H109"/>
    </row>
    <row r="110" spans="5:8" x14ac:dyDescent="0.25">
      <c r="E110"/>
      <c r="H110"/>
    </row>
    <row r="111" spans="5:8" x14ac:dyDescent="0.25">
      <c r="E111"/>
      <c r="H111"/>
    </row>
    <row r="112" spans="5:8" x14ac:dyDescent="0.25">
      <c r="E112"/>
      <c r="H112"/>
    </row>
    <row r="113" spans="5:8" x14ac:dyDescent="0.25">
      <c r="E113"/>
      <c r="H113"/>
    </row>
    <row r="114" spans="5:8" x14ac:dyDescent="0.25">
      <c r="E114"/>
      <c r="H114"/>
    </row>
    <row r="115" spans="5:8" x14ac:dyDescent="0.25">
      <c r="E115"/>
      <c r="H115"/>
    </row>
    <row r="116" spans="5:8" x14ac:dyDescent="0.25">
      <c r="E116"/>
      <c r="H116"/>
    </row>
    <row r="117" spans="5:8" x14ac:dyDescent="0.25">
      <c r="E117"/>
    </row>
    <row r="118" spans="5:8" x14ac:dyDescent="0.25">
      <c r="E118"/>
    </row>
    <row r="119" spans="5:8" x14ac:dyDescent="0.25">
      <c r="E119"/>
    </row>
    <row r="120" spans="5:8" x14ac:dyDescent="0.25">
      <c r="E120"/>
    </row>
    <row r="121" spans="5:8" x14ac:dyDescent="0.25">
      <c r="E121"/>
    </row>
    <row r="122" spans="5:8" x14ac:dyDescent="0.25">
      <c r="E122"/>
    </row>
    <row r="123" spans="5:8" x14ac:dyDescent="0.25">
      <c r="E123"/>
    </row>
    <row r="124" spans="5:8" x14ac:dyDescent="0.25">
      <c r="E124"/>
    </row>
    <row r="125" spans="5:8" x14ac:dyDescent="0.25">
      <c r="E125"/>
    </row>
    <row r="126" spans="5:8" x14ac:dyDescent="0.25">
      <c r="E126"/>
    </row>
    <row r="127" spans="5:8" x14ac:dyDescent="0.25">
      <c r="E127"/>
    </row>
    <row r="128" spans="5:8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</sheetData>
  <conditionalFormatting sqref="I3">
    <cfRule type="containsText" dxfId="17" priority="1" operator="containsText" text="отмена">
      <formula>NOT(ISERROR(SEARCH("отмена",I3)))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30B6-8C6A-4B54-8C39-0D96700BEAA6}">
  <dimension ref="A1:H273"/>
  <sheetViews>
    <sheetView topLeftCell="A70" zoomScaleNormal="100" workbookViewId="0">
      <selection activeCell="F82" sqref="F82:G82"/>
    </sheetView>
  </sheetViews>
  <sheetFormatPr defaultRowHeight="15" x14ac:dyDescent="0.25"/>
  <cols>
    <col min="1" max="1" width="30.85546875" bestFit="1" customWidth="1"/>
    <col min="2" max="2" width="16.28515625" style="55" customWidth="1"/>
    <col min="3" max="3" width="49.42578125" hidden="1" customWidth="1"/>
    <col min="4" max="4" width="64.140625" hidden="1" customWidth="1"/>
    <col min="5" max="5" width="64.140625" style="22" hidden="1" customWidth="1"/>
    <col min="6" max="6" width="73.42578125" style="22" bestFit="1" customWidth="1"/>
    <col min="7" max="7" width="32.42578125" customWidth="1"/>
    <col min="8" max="8" width="15" style="22" bestFit="1" customWidth="1"/>
    <col min="9" max="9" width="31.7109375" bestFit="1" customWidth="1"/>
    <col min="10" max="10" width="32.140625" bestFit="1" customWidth="1"/>
    <col min="11" max="11" width="39.85546875" bestFit="1" customWidth="1"/>
    <col min="12" max="12" width="23.140625" bestFit="1" customWidth="1"/>
    <col min="13" max="13" width="30.7109375" bestFit="1" customWidth="1"/>
    <col min="14" max="14" width="26.7109375" bestFit="1" customWidth="1"/>
    <col min="15" max="15" width="24.7109375" bestFit="1" customWidth="1"/>
    <col min="16" max="16" width="27.5703125" bestFit="1" customWidth="1"/>
    <col min="17" max="17" width="19.140625" bestFit="1" customWidth="1"/>
    <col min="18" max="18" width="7.42578125" bestFit="1" customWidth="1"/>
    <col min="19" max="19" width="36.42578125" bestFit="1" customWidth="1"/>
    <col min="20" max="20" width="9.5703125" bestFit="1" customWidth="1"/>
    <col min="21" max="21" width="10" bestFit="1" customWidth="1"/>
    <col min="22" max="22" width="20.85546875" bestFit="1" customWidth="1"/>
    <col min="23" max="23" width="17.28515625" bestFit="1" customWidth="1"/>
    <col min="24" max="24" width="22.140625" bestFit="1" customWidth="1"/>
    <col min="25" max="25" width="9.28515625" bestFit="1" customWidth="1"/>
    <col min="26" max="26" width="6.5703125" bestFit="1" customWidth="1"/>
    <col min="27" max="27" width="36.7109375" bestFit="1" customWidth="1"/>
    <col min="28" max="28" width="8.42578125" bestFit="1" customWidth="1"/>
    <col min="29" max="29" width="11.85546875" bestFit="1" customWidth="1"/>
  </cols>
  <sheetData>
    <row r="1" spans="1:8" ht="15.75" x14ac:dyDescent="0.25">
      <c r="A1" s="140" t="s">
        <v>4744</v>
      </c>
    </row>
    <row r="2" spans="1:8" x14ac:dyDescent="0.25">
      <c r="A2" s="143" t="s">
        <v>60</v>
      </c>
      <c r="B2" s="143" t="s">
        <v>2</v>
      </c>
      <c r="C2" s="143" t="s">
        <v>4742</v>
      </c>
      <c r="D2" s="143" t="s">
        <v>4741</v>
      </c>
      <c r="E2" s="143" t="s">
        <v>4743</v>
      </c>
      <c r="F2" s="143" t="s">
        <v>4745</v>
      </c>
      <c r="H2"/>
    </row>
    <row r="3" spans="1:8" x14ac:dyDescent="0.25">
      <c r="A3" s="141" t="s">
        <v>66</v>
      </c>
      <c r="B3" s="141" t="s">
        <v>223</v>
      </c>
      <c r="C3" s="141" t="str">
        <f>VLOOKUP(B3,'МССК-7 (Эл.)'!$A$2:$F$944,4)</f>
        <v>Объем подземной части</v>
      </c>
      <c r="D3" s="141">
        <f>VLOOKUP(B3,'МССК-7 (Эл.)'!$A$2:$F$944,5)</f>
        <v>0</v>
      </c>
      <c r="E3" s="141" t="str">
        <f>IF(D3=0,C3,D3)</f>
        <v>Объем подземной части</v>
      </c>
      <c r="F3" s="141" t="str">
        <f>E3&amp;" - "&amp;B3&amp;""</f>
        <v>Объем подземной части - ЭЛ 30 30 10</v>
      </c>
      <c r="H3"/>
    </row>
    <row r="4" spans="1:8" x14ac:dyDescent="0.25">
      <c r="A4" s="141" t="s">
        <v>66</v>
      </c>
      <c r="B4" s="142" t="s">
        <v>224</v>
      </c>
      <c r="C4" s="141" t="str">
        <f>VLOOKUP(B4,'МССК-7 (Эл.)'!$A$2:$F$944,4)</f>
        <v>Объем надземной части</v>
      </c>
      <c r="D4" s="141">
        <f>VLOOKUP(B4,'МССК-7 (Эл.)'!$A$2:$F$944,5)</f>
        <v>0</v>
      </c>
      <c r="E4" s="141" t="str">
        <f t="shared" ref="E4:E43" si="0">IF(D4=0,C4,D4)</f>
        <v>Объем надземной части</v>
      </c>
      <c r="F4" s="141" t="str">
        <f t="shared" ref="F4:F88" si="1">E4&amp;" - "&amp;B4&amp;""</f>
        <v>Объем надземной части - ЭЛ 30 30 20</v>
      </c>
      <c r="H4"/>
    </row>
    <row r="5" spans="1:8" x14ac:dyDescent="0.25">
      <c r="A5" s="138" t="s">
        <v>118</v>
      </c>
      <c r="B5" s="138" t="s">
        <v>225</v>
      </c>
      <c r="C5" s="138" t="str">
        <f>VLOOKUP(B5,'МССК-7 (Эл.)'!$A$2:$F$944,4)</f>
        <v>База колонны</v>
      </c>
      <c r="D5" s="138">
        <f>VLOOKUP(B5,'МССК-7 (Эл.)'!$A$2:$F$944,5)</f>
        <v>0</v>
      </c>
      <c r="E5" s="138" t="str">
        <f t="shared" si="0"/>
        <v>База колонны</v>
      </c>
      <c r="F5" s="144" t="str">
        <f t="shared" si="1"/>
        <v>База колонны - ЭЛ 30 16 15</v>
      </c>
      <c r="H5"/>
    </row>
    <row r="6" spans="1:8" x14ac:dyDescent="0.25">
      <c r="A6" s="138" t="s">
        <v>118</v>
      </c>
      <c r="B6" s="139" t="s">
        <v>226</v>
      </c>
      <c r="C6" s="138" t="str">
        <f>VLOOKUP(B6,'МССК-7 (Эл.)'!$A$2:$F$944,4)</f>
        <v>Капитель</v>
      </c>
      <c r="D6" s="138">
        <f>VLOOKUP(B6,'МССК-7 (Эл.)'!$A$2:$F$944,5)</f>
        <v>0</v>
      </c>
      <c r="E6" s="138" t="str">
        <f t="shared" si="0"/>
        <v>Капитель</v>
      </c>
      <c r="F6" s="144" t="str">
        <f t="shared" si="1"/>
        <v>Капитель - ЭЛ 30 16 25</v>
      </c>
      <c r="H6"/>
    </row>
    <row r="7" spans="1:8" x14ac:dyDescent="0.25">
      <c r="A7" s="138" t="s">
        <v>118</v>
      </c>
      <c r="B7" s="139" t="s">
        <v>227</v>
      </c>
      <c r="C7" s="138" t="str">
        <f>VLOOKUP(B7,'МССК-7 (Эл.)'!$A$2:$F$944,4)</f>
        <v>Колонна</v>
      </c>
      <c r="D7" s="138">
        <f>VLOOKUP(B7,'МССК-7 (Эл.)'!$A$2:$F$944,5)</f>
        <v>0</v>
      </c>
      <c r="E7" s="138" t="str">
        <f t="shared" si="0"/>
        <v>Колонна</v>
      </c>
      <c r="F7" s="144" t="str">
        <f t="shared" si="1"/>
        <v>Колонна - ЭЛ 30 16 40</v>
      </c>
      <c r="H7"/>
    </row>
    <row r="8" spans="1:8" x14ac:dyDescent="0.25">
      <c r="A8" s="138" t="s">
        <v>118</v>
      </c>
      <c r="B8" s="139" t="s">
        <v>228</v>
      </c>
      <c r="C8" s="138" t="str">
        <f>VLOOKUP(B8,'МССК-7 (Эл.)'!$A$2:$F$944,4)</f>
        <v>Фахверк</v>
      </c>
      <c r="D8" s="138">
        <f>VLOOKUP(B8,'МССК-7 (Эл.)'!$A$2:$F$944,5)</f>
        <v>0</v>
      </c>
      <c r="E8" s="138" t="str">
        <f t="shared" si="0"/>
        <v>Фахверк</v>
      </c>
      <c r="F8" s="144" t="str">
        <f t="shared" si="1"/>
        <v>Фахверк - ЭЛ 30 16 42</v>
      </c>
      <c r="H8"/>
    </row>
    <row r="9" spans="1:8" x14ac:dyDescent="0.25">
      <c r="A9" s="138" t="s">
        <v>118</v>
      </c>
      <c r="B9" s="139" t="s">
        <v>229</v>
      </c>
      <c r="C9" s="138" t="str">
        <f>VLOOKUP(B9,'МССК-7 (Эл.)'!$A$2:$F$944,4)</f>
        <v>Пилон</v>
      </c>
      <c r="D9" s="138">
        <f>VLOOKUP(B9,'МССК-7 (Эл.)'!$A$2:$F$944,5)</f>
        <v>0</v>
      </c>
      <c r="E9" s="138" t="str">
        <f t="shared" si="0"/>
        <v>Пилон</v>
      </c>
      <c r="F9" s="144" t="str">
        <f t="shared" si="1"/>
        <v>Пилон - ЭЛ 30 16 50</v>
      </c>
      <c r="H9"/>
    </row>
    <row r="10" spans="1:8" x14ac:dyDescent="0.25">
      <c r="A10" s="138" t="s">
        <v>118</v>
      </c>
      <c r="B10" s="139" t="s">
        <v>121</v>
      </c>
      <c r="C10" s="138" t="str">
        <f>VLOOKUP(B10,'МССК-7 (Эл.)'!$A$2:$F$944,4)</f>
        <v>Пилястра</v>
      </c>
      <c r="D10" s="138">
        <f>VLOOKUP(B10,'МССК-7 (Эл.)'!$A$2:$F$944,5)</f>
        <v>0</v>
      </c>
      <c r="E10" s="138" t="str">
        <f t="shared" si="0"/>
        <v>Пилястра</v>
      </c>
      <c r="F10" s="144" t="str">
        <f t="shared" si="1"/>
        <v>Пилястра - ЭЛ 30 16 51</v>
      </c>
      <c r="H10"/>
    </row>
    <row r="11" spans="1:8" x14ac:dyDescent="0.25">
      <c r="A11" s="141" t="s">
        <v>172</v>
      </c>
      <c r="B11" s="141" t="s">
        <v>174</v>
      </c>
      <c r="C11" s="141" t="str">
        <f>VLOOKUP(B11,'МССК-7 (Эл.)'!$A$2:$F$944,4)</f>
        <v>Витраж</v>
      </c>
      <c r="D11" s="141">
        <f>VLOOKUP(B11,'МССК-7 (Эл.)'!$A$2:$F$944,5)</f>
        <v>0</v>
      </c>
      <c r="E11" s="141" t="str">
        <f t="shared" si="0"/>
        <v>Витраж</v>
      </c>
      <c r="F11" s="141" t="str">
        <f t="shared" si="1"/>
        <v>Витраж - ЭЛ 30 10 10</v>
      </c>
      <c r="H11"/>
    </row>
    <row r="12" spans="1:8" x14ac:dyDescent="0.25">
      <c r="A12" s="141" t="s">
        <v>172</v>
      </c>
      <c r="B12" s="142" t="s">
        <v>231</v>
      </c>
      <c r="C12" s="141" t="str">
        <f>VLOOKUP(B12,'МССК-7 (Эл.)'!$A$2:$F$944,4)</f>
        <v>Панель навесная</v>
      </c>
      <c r="D12" s="141">
        <f>VLOOKUP(B12,'МССК-7 (Эл.)'!$A$2:$F$944,5)</f>
        <v>0</v>
      </c>
      <c r="E12" s="141" t="str">
        <f t="shared" si="0"/>
        <v>Панель навесная</v>
      </c>
      <c r="F12" s="141" t="str">
        <f t="shared" si="1"/>
        <v>Панель навесная - ЭЛ 30 10 35</v>
      </c>
      <c r="H12"/>
    </row>
    <row r="13" spans="1:8" x14ac:dyDescent="0.25">
      <c r="A13" s="141" t="s">
        <v>172</v>
      </c>
      <c r="B13" s="142" t="s">
        <v>232</v>
      </c>
      <c r="C13" s="141" t="str">
        <f>VLOOKUP(B13,'МССК-7 (Эл.)'!$A$2:$F$944,4)</f>
        <v>Фасад</v>
      </c>
      <c r="D13" s="141">
        <f>VLOOKUP(B13,'МССК-7 (Эл.)'!$A$2:$F$944,5)</f>
        <v>0</v>
      </c>
      <c r="E13" s="141" t="str">
        <f t="shared" si="0"/>
        <v>Фасад</v>
      </c>
      <c r="F13" s="141" t="str">
        <f t="shared" si="1"/>
        <v>Фасад - ЭЛ 30 10 60</v>
      </c>
      <c r="H13"/>
    </row>
    <row r="14" spans="1:8" x14ac:dyDescent="0.25">
      <c r="A14" s="141" t="s">
        <v>172</v>
      </c>
      <c r="B14" s="142" t="s">
        <v>230</v>
      </c>
      <c r="C14" s="141" t="str">
        <f>VLOOKUP(B14,'МССК-7 (Эл.)'!$A$2:$F$944,4)</f>
        <v>Навесная фасадная система</v>
      </c>
      <c r="D14" s="141">
        <f>VLOOKUP(B14,'МССК-7 (Эл.)'!$A$2:$F$944,5)</f>
        <v>0</v>
      </c>
      <c r="E14" s="141" t="str">
        <f t="shared" si="0"/>
        <v>Навесная фасадная система</v>
      </c>
      <c r="F14" s="141" t="str">
        <f t="shared" si="1"/>
        <v>Навесная фасадная система - ЭЛ 30 10 61</v>
      </c>
      <c r="H14"/>
    </row>
    <row r="15" spans="1:8" x14ac:dyDescent="0.25">
      <c r="A15" s="138" t="s">
        <v>164</v>
      </c>
      <c r="B15" s="138" t="s">
        <v>234</v>
      </c>
      <c r="C15" s="138" t="str">
        <f>VLOOKUP(B15,'МССК-7 (Эл.)'!$A$2:$F$944,4)</f>
        <v>Ворота</v>
      </c>
      <c r="D15" s="138">
        <f>VLOOKUP(B15,'МССК-7 (Эл.)'!$A$2:$F$944,5)</f>
        <v>0</v>
      </c>
      <c r="E15" s="138" t="str">
        <f t="shared" si="0"/>
        <v>Ворота</v>
      </c>
      <c r="F15" s="144" t="str">
        <f t="shared" si="1"/>
        <v>Ворота - ЭЛ 30 18 20</v>
      </c>
      <c r="H15"/>
    </row>
    <row r="16" spans="1:8" x14ac:dyDescent="0.25">
      <c r="A16" s="138" t="s">
        <v>164</v>
      </c>
      <c r="B16" s="139" t="s">
        <v>235</v>
      </c>
      <c r="C16" s="138" t="str">
        <f>VLOOKUP(B16,'МССК-7 (Эл.)'!$A$2:$F$944,4)</f>
        <v>Ворота</v>
      </c>
      <c r="D16" s="138" t="str">
        <f>VLOOKUP(B16,'МССК-7 (Эл.)'!$A$2:$F$944,5)</f>
        <v>Ворота с ручным механизмом открывания</v>
      </c>
      <c r="E16" s="138" t="str">
        <f t="shared" si="0"/>
        <v>Ворота с ручным механизмом открывания</v>
      </c>
      <c r="F16" s="144" t="str">
        <f t="shared" si="1"/>
        <v>Ворота с ручным механизмом открывания - ЭЛ 30 18 20 01</v>
      </c>
      <c r="H16"/>
    </row>
    <row r="17" spans="1:8" x14ac:dyDescent="0.25">
      <c r="A17" s="138" t="s">
        <v>164</v>
      </c>
      <c r="B17" s="139" t="s">
        <v>236</v>
      </c>
      <c r="C17" s="138" t="str">
        <f>VLOOKUP(B17,'МССК-7 (Эл.)'!$A$2:$F$944,4)</f>
        <v>Ворота</v>
      </c>
      <c r="D17" s="138" t="str">
        <f>VLOOKUP(B17,'МССК-7 (Эл.)'!$A$2:$F$944,5)</f>
        <v>Ворота с автоматическим механизмом открывания</v>
      </c>
      <c r="E17" s="138" t="str">
        <f t="shared" si="0"/>
        <v>Ворота с автоматическим механизмом открывания</v>
      </c>
      <c r="F17" s="144" t="str">
        <f t="shared" si="1"/>
        <v>Ворота с автоматическим механизмом открывания - ЭЛ 30 18 20 02</v>
      </c>
      <c r="H17"/>
    </row>
    <row r="18" spans="1:8" x14ac:dyDescent="0.25">
      <c r="A18" s="138" t="s">
        <v>164</v>
      </c>
      <c r="B18" s="139" t="s">
        <v>167</v>
      </c>
      <c r="C18" s="138" t="str">
        <f>VLOOKUP(B18,'МССК-7 (Эл.)'!$A$2:$F$944,4)</f>
        <v>Дверь</v>
      </c>
      <c r="D18" s="138">
        <f>VLOOKUP(B18,'МССК-7 (Эл.)'!$A$2:$F$944,5)</f>
        <v>0</v>
      </c>
      <c r="E18" s="138" t="str">
        <f t="shared" si="0"/>
        <v>Дверь</v>
      </c>
      <c r="F18" s="144" t="str">
        <f t="shared" si="1"/>
        <v>Дверь - ЭЛ 30 18 30</v>
      </c>
      <c r="H18"/>
    </row>
    <row r="19" spans="1:8" x14ac:dyDescent="0.25">
      <c r="A19" s="138" t="s">
        <v>164</v>
      </c>
      <c r="B19" s="139" t="s">
        <v>237</v>
      </c>
      <c r="C19" s="138" t="str">
        <f>VLOOKUP(B19,'МССК-7 (Эл.)'!$A$2:$F$944,4)</f>
        <v>Дверь</v>
      </c>
      <c r="D19" s="138" t="str">
        <f>VLOOKUP(B19,'МССК-7 (Эл.)'!$A$2:$F$944,5)</f>
        <v>Дверь герметическая</v>
      </c>
      <c r="E19" s="138" t="str">
        <f t="shared" si="0"/>
        <v>Дверь герметическая</v>
      </c>
      <c r="F19" s="144" t="str">
        <f t="shared" si="1"/>
        <v>Дверь герметическая - ЭЛ 30 18 30 10</v>
      </c>
      <c r="H19"/>
    </row>
    <row r="20" spans="1:8" x14ac:dyDescent="0.25">
      <c r="A20" s="138" t="s">
        <v>164</v>
      </c>
      <c r="B20" s="139" t="s">
        <v>238</v>
      </c>
      <c r="C20" s="138" t="str">
        <f>VLOOKUP(B20,'МССК-7 (Эл.)'!$A$2:$F$944,4)</f>
        <v>Дверь</v>
      </c>
      <c r="D20" s="138" t="str">
        <f>VLOOKUP(B20,'МССК-7 (Эл.)'!$A$2:$F$944,5)</f>
        <v>Дверь межкомнатная</v>
      </c>
      <c r="E20" s="138" t="str">
        <f t="shared" si="0"/>
        <v>Дверь межкомнатная</v>
      </c>
      <c r="F20" s="144" t="str">
        <f t="shared" si="1"/>
        <v>Дверь межкомнатная - ЭЛ 30 18 30 20</v>
      </c>
      <c r="H20"/>
    </row>
    <row r="21" spans="1:8" x14ac:dyDescent="0.25">
      <c r="A21" s="138" t="s">
        <v>164</v>
      </c>
      <c r="B21" s="139" t="s">
        <v>239</v>
      </c>
      <c r="C21" s="138" t="str">
        <f>VLOOKUP(B21,'МССК-7 (Эл.)'!$A$2:$F$944,4)</f>
        <v>Дверь</v>
      </c>
      <c r="D21" s="138" t="str">
        <f>VLOOKUP(B21,'МССК-7 (Эл.)'!$A$2:$F$944,5)</f>
        <v>Дверь входная</v>
      </c>
      <c r="E21" s="138" t="str">
        <f t="shared" si="0"/>
        <v>Дверь входная</v>
      </c>
      <c r="F21" s="144" t="str">
        <f t="shared" si="1"/>
        <v>Дверь входная - ЭЛ 30 18 30 30</v>
      </c>
      <c r="H21"/>
    </row>
    <row r="22" spans="1:8" x14ac:dyDescent="0.25">
      <c r="A22" s="138" t="s">
        <v>164</v>
      </c>
      <c r="B22" s="139" t="s">
        <v>240</v>
      </c>
      <c r="C22" s="138" t="str">
        <f>VLOOKUP(B22,'МССК-7 (Эл.)'!$A$2:$F$944,4)</f>
        <v>Дверь</v>
      </c>
      <c r="D22" s="138" t="str">
        <f>VLOOKUP(B22,'МССК-7 (Эл.)'!$A$2:$F$944,5)</f>
        <v>Балконная дверь</v>
      </c>
      <c r="E22" s="138" t="str">
        <f t="shared" si="0"/>
        <v>Балконная дверь</v>
      </c>
      <c r="F22" s="144" t="str">
        <f t="shared" si="1"/>
        <v>Балконная дверь - ЭЛ 30 18 30 31</v>
      </c>
      <c r="H22"/>
    </row>
    <row r="23" spans="1:8" x14ac:dyDescent="0.25">
      <c r="A23" s="138" t="s">
        <v>164</v>
      </c>
      <c r="B23" s="139" t="s">
        <v>241</v>
      </c>
      <c r="C23" s="138" t="str">
        <f>VLOOKUP(B23,'МССК-7 (Эл.)'!$A$2:$F$944,4)</f>
        <v>Люк</v>
      </c>
      <c r="D23" s="138">
        <f>VLOOKUP(B23,'МССК-7 (Эл.)'!$A$2:$F$944,5)</f>
        <v>0</v>
      </c>
      <c r="E23" s="138" t="str">
        <f t="shared" si="0"/>
        <v>Люк</v>
      </c>
      <c r="F23" s="144" t="str">
        <f t="shared" si="1"/>
        <v>Люк - ЭЛ 30 18 50</v>
      </c>
      <c r="H23"/>
    </row>
    <row r="24" spans="1:8" x14ac:dyDescent="0.25">
      <c r="A24" s="138" t="s">
        <v>164</v>
      </c>
      <c r="B24" s="139" t="s">
        <v>242</v>
      </c>
      <c r="C24" s="138" t="str">
        <f>VLOOKUP(B24,'МССК-7 (Эл.)'!$A$2:$F$944,4)</f>
        <v>Люк</v>
      </c>
      <c r="D24" s="138" t="str">
        <f>VLOOKUP(B24,'МССК-7 (Эл.)'!$A$2:$F$944,5)</f>
        <v>Люк герметический</v>
      </c>
      <c r="E24" s="138" t="str">
        <f t="shared" si="0"/>
        <v>Люк герметический</v>
      </c>
      <c r="F24" s="144" t="str">
        <f t="shared" si="1"/>
        <v>Люк герметический - ЭЛ 30 18 50 10</v>
      </c>
      <c r="H24"/>
    </row>
    <row r="25" spans="1:8" x14ac:dyDescent="0.25">
      <c r="A25" s="138" t="s">
        <v>164</v>
      </c>
      <c r="B25" s="139" t="s">
        <v>243</v>
      </c>
      <c r="C25" s="138" t="str">
        <f>VLOOKUP(B25,'МССК-7 (Эл.)'!$A$2:$F$944,4)</f>
        <v>Люк</v>
      </c>
      <c r="D25" s="138" t="str">
        <f>VLOOKUP(B25,'МССК-7 (Эл.)'!$A$2:$F$944,5)</f>
        <v>Ревизия, лючок</v>
      </c>
      <c r="E25" s="138" t="str">
        <f t="shared" si="0"/>
        <v>Ревизия, лючок</v>
      </c>
      <c r="F25" s="144" t="str">
        <f t="shared" si="1"/>
        <v>Ревизия, лючок - ЭЛ 30 18 50 20</v>
      </c>
      <c r="H25"/>
    </row>
    <row r="26" spans="1:8" x14ac:dyDescent="0.25">
      <c r="A26" s="138" t="s">
        <v>164</v>
      </c>
      <c r="B26" s="139" t="s">
        <v>244</v>
      </c>
      <c r="C26" s="138" t="str">
        <f>VLOOKUP(B26,'МССК-7 (Эл.)'!$A$2:$F$944,4)</f>
        <v>Турникет</v>
      </c>
      <c r="D26" s="138">
        <f>VLOOKUP(B26,'МССК-7 (Эл.)'!$A$2:$F$944,5)</f>
        <v>0</v>
      </c>
      <c r="E26" s="138" t="str">
        <f t="shared" si="0"/>
        <v>Турникет</v>
      </c>
      <c r="F26" s="144" t="str">
        <f t="shared" si="1"/>
        <v>Турникет - ЭЛ 35 01 01</v>
      </c>
      <c r="H26"/>
    </row>
    <row r="27" spans="1:8" x14ac:dyDescent="0.25">
      <c r="A27" s="138" t="s">
        <v>164</v>
      </c>
      <c r="B27" s="139" t="s">
        <v>245</v>
      </c>
      <c r="C27" s="138" t="str">
        <f>VLOOKUP(B27,'МССК-7 (Эл.)'!$A$2:$F$944,4)</f>
        <v>Шлагбаум</v>
      </c>
      <c r="D27" s="138">
        <f>VLOOKUP(B27,'МССК-7 (Эл.)'!$A$2:$F$944,5)</f>
        <v>0</v>
      </c>
      <c r="E27" s="138" t="str">
        <f t="shared" si="0"/>
        <v>Шлагбаум</v>
      </c>
      <c r="F27" s="144" t="str">
        <f t="shared" si="1"/>
        <v>Шлагбаум - ЭЛ 35 01 02</v>
      </c>
      <c r="H27"/>
    </row>
    <row r="28" spans="1:8" x14ac:dyDescent="0.25">
      <c r="A28" s="138" t="s">
        <v>164</v>
      </c>
      <c r="B28" s="139" t="s">
        <v>233</v>
      </c>
      <c r="C28" s="138" t="str">
        <f>VLOOKUP(B28,'МССК-7 (Эл.)'!$A$2:$F$944,4)</f>
        <v>Оборудование пожаротушения</v>
      </c>
      <c r="D28" s="138" t="str">
        <f>VLOOKUP(B28,'МССК-7 (Эл.)'!$A$2:$F$944,5)</f>
        <v>Люк дымовой</v>
      </c>
      <c r="E28" s="138" t="str">
        <f t="shared" si="0"/>
        <v>Люк дымовой</v>
      </c>
      <c r="F28" s="144" t="str">
        <f t="shared" si="1"/>
        <v>Люк дымовой - ЭЛ 40 50 27 06</v>
      </c>
      <c r="H28"/>
    </row>
    <row r="29" spans="1:8" x14ac:dyDescent="0.25">
      <c r="A29" s="141" t="s">
        <v>180</v>
      </c>
      <c r="B29" s="141" t="s">
        <v>183</v>
      </c>
      <c r="C29" s="141" t="str">
        <f>VLOOKUP(B29,'МССК-7 (Эл.)'!$A$2:$F$944,4)</f>
        <v>Витраж</v>
      </c>
      <c r="D29" s="141" t="str">
        <f>VLOOKUP(B29,'МССК-7 (Эл.)'!$A$2:$F$944,5)</f>
        <v>Импост витражной системы</v>
      </c>
      <c r="E29" s="141" t="str">
        <f t="shared" si="0"/>
        <v>Импост витражной системы</v>
      </c>
      <c r="F29" s="141" t="str">
        <f t="shared" si="1"/>
        <v>Импост витражной системы - ЭЛ 30 10 10 20</v>
      </c>
      <c r="H29"/>
    </row>
    <row r="30" spans="1:8" x14ac:dyDescent="0.25">
      <c r="A30" s="141" t="s">
        <v>180</v>
      </c>
      <c r="B30" s="142" t="s">
        <v>246</v>
      </c>
      <c r="C30" s="141" t="str">
        <f>VLOOKUP(B30,'МССК-7 (Эл.)'!$A$2:$F$944,4)</f>
        <v>Навесная фасадная система</v>
      </c>
      <c r="D30" s="141" t="str">
        <f>VLOOKUP(B30,'МССК-7 (Эл.)'!$A$2:$F$944,5)</f>
        <v>Импост навесного фасада</v>
      </c>
      <c r="E30" s="141" t="str">
        <f t="shared" si="0"/>
        <v>Импост навесного фасада</v>
      </c>
      <c r="F30" s="141" t="str">
        <f t="shared" si="1"/>
        <v>Импост навесного фасада - ЭЛ 30 10 61 02</v>
      </c>
      <c r="H30"/>
    </row>
    <row r="31" spans="1:8" x14ac:dyDescent="0.25">
      <c r="A31" s="144" t="s">
        <v>191</v>
      </c>
      <c r="B31" s="145" t="s">
        <v>193</v>
      </c>
      <c r="C31" s="144" t="str">
        <f>VLOOKUP(B31,'МССК-7 (Эл.)'!$A$2:$F$944,4)</f>
        <v>Витраж</v>
      </c>
      <c r="D31" s="144" t="str">
        <f>VLOOKUP(B31,'МССК-7 (Эл.)'!$A$2:$F$944,5)</f>
        <v>Панель витражной системы</v>
      </c>
      <c r="E31" s="144" t="str">
        <f>IF(D31=0,C31,D31)</f>
        <v>Панель витражной системы</v>
      </c>
      <c r="F31" s="144" t="str">
        <f>E31&amp;" - "&amp;B31&amp;""</f>
        <v>Панель витражной системы - ЭЛ 30 10 10 10</v>
      </c>
      <c r="H31"/>
    </row>
    <row r="32" spans="1:8" x14ac:dyDescent="0.25">
      <c r="A32" s="141" t="s">
        <v>132</v>
      </c>
      <c r="B32" s="141" t="s">
        <v>135</v>
      </c>
      <c r="C32" s="141" t="str">
        <f>VLOOKUP(B32,'МССК-7 (Эл.)'!$A$2:$F$944,4)</f>
        <v>Пандус</v>
      </c>
      <c r="D32" s="141">
        <f>VLOOKUP(B32,'МССК-7 (Эл.)'!$A$2:$F$944,5)</f>
        <v>0</v>
      </c>
      <c r="E32" s="141" t="str">
        <f t="shared" si="0"/>
        <v>Пандус</v>
      </c>
      <c r="F32" s="141" t="str">
        <f t="shared" si="1"/>
        <v>Пандус - ЭЛ 30 24 40</v>
      </c>
      <c r="H32"/>
    </row>
    <row r="33" spans="1:8" x14ac:dyDescent="0.25">
      <c r="A33" s="141" t="s">
        <v>132</v>
      </c>
      <c r="B33" s="142" t="s">
        <v>247</v>
      </c>
      <c r="C33" s="141" t="str">
        <f>VLOOKUP(B33,'МССК-7 (Эл.)'!$A$2:$F$944,4)</f>
        <v>Рампа</v>
      </c>
      <c r="D33" s="141">
        <f>VLOOKUP(B33,'МССК-7 (Эл.)'!$A$2:$F$944,5)</f>
        <v>0</v>
      </c>
      <c r="E33" s="141" t="str">
        <f t="shared" si="0"/>
        <v>Рампа</v>
      </c>
      <c r="F33" s="141" t="str">
        <f t="shared" si="1"/>
        <v>Рампа - ЭЛ 30 24 60</v>
      </c>
      <c r="H33"/>
    </row>
    <row r="34" spans="1:8" x14ac:dyDescent="0.25">
      <c r="A34" s="144" t="s">
        <v>142</v>
      </c>
      <c r="B34" s="144" t="s">
        <v>145</v>
      </c>
      <c r="C34" s="144" t="str">
        <f>VLOOKUP(B34,'МССК-7 (Эл.)'!$A$2:$F$944,4)</f>
        <v>Перекрытие</v>
      </c>
      <c r="D34" s="144">
        <f>VLOOKUP(B34,'МССК-7 (Эл.)'!$A$2:$F$944,5)</f>
        <v>0</v>
      </c>
      <c r="E34" s="144" t="str">
        <f t="shared" si="0"/>
        <v>Перекрытие</v>
      </c>
      <c r="F34" s="144" t="str">
        <f t="shared" si="1"/>
        <v>Перекрытие - ЭЛ 30 10 40</v>
      </c>
      <c r="H34"/>
    </row>
    <row r="35" spans="1:8" x14ac:dyDescent="0.25">
      <c r="A35" s="144" t="s">
        <v>142</v>
      </c>
      <c r="B35" s="145" t="s">
        <v>251</v>
      </c>
      <c r="C35" s="144" t="str">
        <f>VLOOKUP(B35,'МССК-7 (Эл.)'!$A$2:$F$944,4)</f>
        <v>Плита балкона</v>
      </c>
      <c r="D35" s="144">
        <f>VLOOKUP(B35,'МССК-7 (Эл.)'!$A$2:$F$944,5)</f>
        <v>0</v>
      </c>
      <c r="E35" s="144" t="str">
        <f t="shared" si="0"/>
        <v>Плита балкона</v>
      </c>
      <c r="F35" s="144" t="str">
        <f t="shared" si="1"/>
        <v>Плита балкона - ЭЛ 30 10 56</v>
      </c>
      <c r="H35"/>
    </row>
    <row r="36" spans="1:8" x14ac:dyDescent="0.25">
      <c r="A36" s="144" t="s">
        <v>142</v>
      </c>
      <c r="B36" s="145" t="s">
        <v>252</v>
      </c>
      <c r="C36" s="144" t="str">
        <f>VLOOKUP(B36,'МССК-7 (Эл.)'!$A$2:$F$944,4)</f>
        <v>Плита лоджии</v>
      </c>
      <c r="D36" s="144">
        <f>VLOOKUP(B36,'МССК-7 (Эл.)'!$A$2:$F$944,5)</f>
        <v>0</v>
      </c>
      <c r="E36" s="144" t="str">
        <f t="shared" si="0"/>
        <v>Плита лоджии</v>
      </c>
      <c r="F36" s="144" t="str">
        <f t="shared" si="1"/>
        <v>Плита лоджии - ЭЛ 30 10 57</v>
      </c>
      <c r="H36"/>
    </row>
    <row r="37" spans="1:8" x14ac:dyDescent="0.25">
      <c r="A37" s="144" t="s">
        <v>142</v>
      </c>
      <c r="B37" s="145" t="s">
        <v>253</v>
      </c>
      <c r="C37" s="144" t="str">
        <f>VLOOKUP(B37,'МССК-7 (Эл.)'!$A$2:$F$944,4)</f>
        <v>Плита козырька здания</v>
      </c>
      <c r="D37" s="144">
        <f>VLOOKUP(B37,'МССК-7 (Эл.)'!$A$2:$F$944,5)</f>
        <v>0</v>
      </c>
      <c r="E37" s="144" t="str">
        <f t="shared" si="0"/>
        <v>Плита козырька здания</v>
      </c>
      <c r="F37" s="144" t="str">
        <f t="shared" si="1"/>
        <v>Плита козырька здания - ЭЛ 30 10 58</v>
      </c>
      <c r="H37"/>
    </row>
    <row r="38" spans="1:8" x14ac:dyDescent="0.25">
      <c r="A38" s="144" t="s">
        <v>142</v>
      </c>
      <c r="B38" s="145" t="s">
        <v>254</v>
      </c>
      <c r="C38" s="144" t="str">
        <f>VLOOKUP(B38,'МССК-7 (Эл.)'!$A$2:$F$944,4)</f>
        <v>Плита перекрытия</v>
      </c>
      <c r="D38" s="144">
        <f>VLOOKUP(B38,'МССК-7 (Эл.)'!$A$2:$F$944,5)</f>
        <v>0</v>
      </c>
      <c r="E38" s="144" t="str">
        <f t="shared" si="0"/>
        <v>Плита перекрытия</v>
      </c>
      <c r="F38" s="144" t="str">
        <f t="shared" si="1"/>
        <v>Плита перекрытия - ЭЛ 30 10 80</v>
      </c>
      <c r="H38"/>
    </row>
    <row r="39" spans="1:8" x14ac:dyDescent="0.25">
      <c r="A39" s="144" t="s">
        <v>142</v>
      </c>
      <c r="B39" s="145" t="s">
        <v>226</v>
      </c>
      <c r="C39" s="144" t="str">
        <f>VLOOKUP(B39,'МССК-7 (Эл.)'!$A$2:$F$944,4)</f>
        <v>Капитель</v>
      </c>
      <c r="D39" s="144">
        <f>VLOOKUP(B39,'МССК-7 (Эл.)'!$A$2:$F$944,5)</f>
        <v>0</v>
      </c>
      <c r="E39" s="144" t="str">
        <f t="shared" si="0"/>
        <v>Капитель</v>
      </c>
      <c r="F39" s="144" t="s">
        <v>4747</v>
      </c>
      <c r="H39"/>
    </row>
    <row r="40" spans="1:8" x14ac:dyDescent="0.25">
      <c r="A40" s="144" t="s">
        <v>142</v>
      </c>
      <c r="B40" s="145" t="s">
        <v>255</v>
      </c>
      <c r="C40" s="144" t="str">
        <f>VLOOKUP(B40,'МССК-7 (Эл.)'!$A$2:$F$944,4)</f>
        <v>Лестничная площадка</v>
      </c>
      <c r="D40" s="144">
        <f>VLOOKUP(B40,'МССК-7 (Эл.)'!$A$2:$F$944,5)</f>
        <v>0</v>
      </c>
      <c r="E40" s="144" t="str">
        <f t="shared" si="0"/>
        <v>Лестничная площадка</v>
      </c>
      <c r="F40" s="144" t="str">
        <f t="shared" si="1"/>
        <v>Лестничная площадка - ЭЛ 30 24 20</v>
      </c>
      <c r="H40"/>
    </row>
    <row r="41" spans="1:8" x14ac:dyDescent="0.25">
      <c r="A41" s="144" t="s">
        <v>142</v>
      </c>
      <c r="B41" s="145" t="s">
        <v>256</v>
      </c>
      <c r="C41" s="144" t="str">
        <f>VLOOKUP(B41,'МССК-7 (Эл.)'!$A$2:$F$944,4)</f>
        <v>Горизонтальная площадка пандуса</v>
      </c>
      <c r="D41" s="144">
        <f>VLOOKUP(B41,'МССК-7 (Эл.)'!$A$2:$F$944,5)</f>
        <v>0</v>
      </c>
      <c r="E41" s="144" t="str">
        <f t="shared" si="0"/>
        <v>Горизонтальная площадка пандуса</v>
      </c>
      <c r="F41" s="144" t="str">
        <f t="shared" si="1"/>
        <v>Горизонтальная площадка пандуса - ЭЛ 30 24 50</v>
      </c>
      <c r="H41"/>
    </row>
    <row r="42" spans="1:8" x14ac:dyDescent="0.25">
      <c r="A42" s="144" t="s">
        <v>142</v>
      </c>
      <c r="B42" s="145" t="s">
        <v>257</v>
      </c>
      <c r="C42" s="144" t="str">
        <f>VLOOKUP(B42,'МССК-7 (Эл.)'!$A$2:$F$944,4)</f>
        <v>Горизонтальная площадка рампы</v>
      </c>
      <c r="D42" s="144">
        <f>VLOOKUP(B42,'МССК-7 (Эл.)'!$A$2:$F$944,5)</f>
        <v>0</v>
      </c>
      <c r="E42" s="144" t="str">
        <f t="shared" si="0"/>
        <v>Горизонтальная площадка рампы</v>
      </c>
      <c r="F42" s="144" t="str">
        <f t="shared" si="1"/>
        <v>Горизонтальная площадка рампы - ЭЛ 30 24 51</v>
      </c>
      <c r="H42"/>
    </row>
    <row r="43" spans="1:8" x14ac:dyDescent="0.25">
      <c r="A43" s="144" t="s">
        <v>142</v>
      </c>
      <c r="B43" s="145" t="s">
        <v>248</v>
      </c>
      <c r="C43" s="144" t="str">
        <f>VLOOKUP(B43,'МССК-7 (Эл.)'!$A$2:$F$944,4)</f>
        <v>Путевая плита</v>
      </c>
      <c r="D43" s="144">
        <f>VLOOKUP(B43,'МССК-7 (Эл.)'!$A$2:$F$944,5)</f>
        <v>0</v>
      </c>
      <c r="E43" s="144" t="str">
        <f t="shared" si="0"/>
        <v>Путевая плита</v>
      </c>
      <c r="F43" s="144" t="str">
        <f t="shared" si="1"/>
        <v>Путевая плита - ЭЛ 60 20 13</v>
      </c>
      <c r="H43"/>
    </row>
    <row r="44" spans="1:8" x14ac:dyDescent="0.25">
      <c r="A44" s="160" t="s">
        <v>127</v>
      </c>
      <c r="B44" s="160" t="s">
        <v>129</v>
      </c>
      <c r="C44" s="160" t="str">
        <f>VLOOKUP(B44,'МССК-7 (Эл.)'!$A$2:$F$944,4)</f>
        <v>Лестница</v>
      </c>
      <c r="D44" s="160">
        <f>VLOOKUP(B44,'МССК-7 (Эл.)'!$A$2:$F$944,5)</f>
        <v>0</v>
      </c>
      <c r="E44" s="160" t="str">
        <f t="shared" ref="E44:E61" si="2">IF(D44=0,C44,D44)</f>
        <v>Лестница</v>
      </c>
      <c r="F44" s="160" t="str">
        <f t="shared" si="1"/>
        <v>Лестница - ЭЛ 30 24 30</v>
      </c>
      <c r="H44"/>
    </row>
    <row r="45" spans="1:8" x14ac:dyDescent="0.25">
      <c r="A45" s="160" t="s">
        <v>127</v>
      </c>
      <c r="B45" s="161" t="s">
        <v>249</v>
      </c>
      <c r="C45" s="160" t="str">
        <f>VLOOKUP(B45,'МССК-7 (Эл.)'!$A$2:$F$944,4)</f>
        <v>Лестница-трап</v>
      </c>
      <c r="D45" s="160">
        <f>VLOOKUP(B45,'МССК-7 (Эл.)'!$A$2:$F$944,5)</f>
        <v>0</v>
      </c>
      <c r="E45" s="160" t="str">
        <f t="shared" si="2"/>
        <v>Лестница-трап</v>
      </c>
      <c r="F45" s="160" t="str">
        <f t="shared" si="1"/>
        <v>Лестница-трап - ЭЛ 30 24 35</v>
      </c>
      <c r="H45"/>
    </row>
    <row r="46" spans="1:8" x14ac:dyDescent="0.25">
      <c r="A46" s="141" t="s">
        <v>109</v>
      </c>
      <c r="B46" s="141" t="s">
        <v>199</v>
      </c>
      <c r="C46" s="141" t="str">
        <f>VLOOKUP(B46,'МССК-7 (Эл.)'!$A$2:$F$944,4)</f>
        <v>Парапет кровли</v>
      </c>
      <c r="D46" s="141">
        <f>VLOOKUP(B46,'МССК-7 (Эл.)'!$A$2:$F$944,5)</f>
        <v>0</v>
      </c>
      <c r="E46" s="141" t="str">
        <f t="shared" si="2"/>
        <v>Парапет кровли</v>
      </c>
      <c r="F46" s="141" t="str">
        <f t="shared" si="1"/>
        <v>Парапет кровли - ЭЛ 20 20 06</v>
      </c>
      <c r="H46"/>
    </row>
    <row r="47" spans="1:8" x14ac:dyDescent="0.25">
      <c r="A47" s="141" t="s">
        <v>109</v>
      </c>
      <c r="B47" s="142" t="s">
        <v>201</v>
      </c>
      <c r="C47" s="141" t="str">
        <f>VLOOKUP(B47,'МССК-7 (Эл.)'!$A$2:$F$944,4)</f>
        <v>Стена</v>
      </c>
      <c r="D47" s="141">
        <f>VLOOKUP(B47,'МССК-7 (Эл.)'!$A$2:$F$944,5)</f>
        <v>0</v>
      </c>
      <c r="E47" s="141" t="str">
        <f t="shared" si="2"/>
        <v>Стена</v>
      </c>
      <c r="F47" s="141" t="str">
        <f t="shared" si="1"/>
        <v>Стена - ЭЛ 30 10 15</v>
      </c>
      <c r="H47"/>
    </row>
    <row r="48" spans="1:8" x14ac:dyDescent="0.25">
      <c r="A48" s="141" t="s">
        <v>109</v>
      </c>
      <c r="B48" s="142" t="s">
        <v>112</v>
      </c>
      <c r="C48" s="141" t="str">
        <f>VLOOKUP(B48,'МССК-7 (Эл.)'!$A$2:$F$944,4)</f>
        <v>Перегородка</v>
      </c>
      <c r="D48" s="141">
        <f>VLOOKUP(B48,'МССК-7 (Эл.)'!$A$2:$F$944,5)</f>
        <v>0</v>
      </c>
      <c r="E48" s="141" t="str">
        <f t="shared" si="2"/>
        <v>Перегородка</v>
      </c>
      <c r="F48" s="141" t="str">
        <f t="shared" si="1"/>
        <v>Перегородка - ЭЛ 30 10 20</v>
      </c>
      <c r="H48"/>
    </row>
    <row r="49" spans="1:8" x14ac:dyDescent="0.25">
      <c r="A49" s="141" t="s">
        <v>109</v>
      </c>
      <c r="B49" s="142" t="s">
        <v>203</v>
      </c>
      <c r="C49" s="141" t="str">
        <f>VLOOKUP(B49,'МССК-7 (Эл.)'!$A$2:$F$944,4)</f>
        <v>Парапет</v>
      </c>
      <c r="D49" s="141">
        <f>VLOOKUP(B49,'МССК-7 (Эл.)'!$A$2:$F$944,5)</f>
        <v>0</v>
      </c>
      <c r="E49" s="141" t="str">
        <f t="shared" si="2"/>
        <v>Парапет</v>
      </c>
      <c r="F49" s="141" t="str">
        <f t="shared" si="1"/>
        <v>Парапет - ЭЛ 30 10 36</v>
      </c>
      <c r="H49"/>
    </row>
    <row r="50" spans="1:8" x14ac:dyDescent="0.25">
      <c r="A50" s="141" t="s">
        <v>109</v>
      </c>
      <c r="B50" s="142" t="s">
        <v>211</v>
      </c>
      <c r="C50" s="141" t="str">
        <f>VLOOKUP(B50,'МССК-7 (Эл.)'!$A$2:$F$944,4)</f>
        <v>Панель стеновая наружная рядовая</v>
      </c>
      <c r="D50" s="141">
        <f>VLOOKUP(B50,'МССК-7 (Эл.)'!$A$2:$F$944,5)</f>
        <v>0</v>
      </c>
      <c r="E50" s="141" t="str">
        <f t="shared" si="2"/>
        <v>Панель стеновая наружная рядовая</v>
      </c>
      <c r="F50" s="141" t="str">
        <f t="shared" si="1"/>
        <v>Панель стеновая наружная рядовая - ЭЛ 30 10 75</v>
      </c>
      <c r="H50"/>
    </row>
    <row r="51" spans="1:8" x14ac:dyDescent="0.25">
      <c r="A51" s="141" t="s">
        <v>109</v>
      </c>
      <c r="B51" s="142" t="s">
        <v>213</v>
      </c>
      <c r="C51" s="141" t="str">
        <f>VLOOKUP(B51,'МССК-7 (Эл.)'!$A$2:$F$944,4)</f>
        <v>Панель стеновая наружная простеночная</v>
      </c>
      <c r="D51" s="141">
        <f>VLOOKUP(B51,'МССК-7 (Эл.)'!$A$2:$F$944,5)</f>
        <v>0</v>
      </c>
      <c r="E51" s="141" t="str">
        <f t="shared" si="2"/>
        <v>Панель стеновая наружная простеночная</v>
      </c>
      <c r="F51" s="141" t="str">
        <f t="shared" si="1"/>
        <v>Панель стеновая наружная простеночная - ЭЛ 30 10 76</v>
      </c>
      <c r="H51"/>
    </row>
    <row r="52" spans="1:8" x14ac:dyDescent="0.25">
      <c r="A52" s="141" t="s">
        <v>109</v>
      </c>
      <c r="B52" s="142" t="s">
        <v>215</v>
      </c>
      <c r="C52" s="141" t="str">
        <f>VLOOKUP(B52,'МССК-7 (Эл.)'!$A$2:$F$944,4)</f>
        <v>Панель стеновая наружная карнизная</v>
      </c>
      <c r="D52" s="141">
        <f>VLOOKUP(B52,'МССК-7 (Эл.)'!$A$2:$F$944,5)</f>
        <v>0</v>
      </c>
      <c r="E52" s="141" t="str">
        <f t="shared" si="2"/>
        <v>Панель стеновая наружная карнизная</v>
      </c>
      <c r="F52" s="141" t="str">
        <f t="shared" si="1"/>
        <v>Панель стеновая наружная карнизная - ЭЛ 30 10 77</v>
      </c>
      <c r="H52"/>
    </row>
    <row r="53" spans="1:8" x14ac:dyDescent="0.25">
      <c r="A53" s="141" t="s">
        <v>109</v>
      </c>
      <c r="B53" s="142" t="s">
        <v>217</v>
      </c>
      <c r="C53" s="141" t="str">
        <f>VLOOKUP(B53,'МССК-7 (Эл.)'!$A$2:$F$944,4)</f>
        <v>Панель стеновая перегородка</v>
      </c>
      <c r="D53" s="141">
        <f>VLOOKUP(B53,'МССК-7 (Эл.)'!$A$2:$F$944,5)</f>
        <v>0</v>
      </c>
      <c r="E53" s="141" t="str">
        <f t="shared" si="2"/>
        <v>Панель стеновая перегородка</v>
      </c>
      <c r="F53" s="141" t="str">
        <f t="shared" si="1"/>
        <v>Панель стеновая перегородка - ЭЛ 30 10 78</v>
      </c>
      <c r="H53"/>
    </row>
    <row r="54" spans="1:8" x14ac:dyDescent="0.25">
      <c r="A54" s="141" t="s">
        <v>109</v>
      </c>
      <c r="B54" s="142" t="s">
        <v>205</v>
      </c>
      <c r="C54" s="141" t="str">
        <f>VLOOKUP(B54,'МССК-7 (Эл.)'!$A$2:$F$944,4)</f>
        <v>Блок угловой стеновых панелей</v>
      </c>
      <c r="D54" s="141">
        <f>VLOOKUP(B54,'МССК-7 (Эл.)'!$A$2:$F$944,5)</f>
        <v>0</v>
      </c>
      <c r="E54" s="141" t="str">
        <f t="shared" si="2"/>
        <v>Блок угловой стеновых панелей</v>
      </c>
      <c r="F54" s="141" t="str">
        <f t="shared" si="1"/>
        <v>Блок угловой стеновых панелей - ЭЛ 30 10 79</v>
      </c>
      <c r="H54"/>
    </row>
    <row r="55" spans="1:8" x14ac:dyDescent="0.25">
      <c r="A55" s="141" t="s">
        <v>109</v>
      </c>
      <c r="B55" s="142" t="s">
        <v>207</v>
      </c>
      <c r="C55" s="141" t="str">
        <f>VLOOKUP(B55,'МССК-7 (Эл.)'!$A$2:$F$944,4)</f>
        <v>Блок угловой</v>
      </c>
      <c r="D55" s="141">
        <f>VLOOKUP(B55,'МССК-7 (Эл.)'!$A$2:$F$944,5)</f>
        <v>0</v>
      </c>
      <c r="E55" s="141" t="str">
        <f t="shared" si="2"/>
        <v>Блок угловой</v>
      </c>
      <c r="F55" s="141" t="str">
        <f t="shared" si="1"/>
        <v>Блок угловой - ЭЛ 30 16 77</v>
      </c>
      <c r="H55"/>
    </row>
    <row r="56" spans="1:8" x14ac:dyDescent="0.25">
      <c r="A56" s="141" t="s">
        <v>109</v>
      </c>
      <c r="B56" s="142" t="s">
        <v>209</v>
      </c>
      <c r="C56" s="141" t="str">
        <f>VLOOKUP(B56,'МССК-7 (Эл.)'!$A$2:$F$944,4)</f>
        <v>Блок вентиляционный</v>
      </c>
      <c r="D56" s="141">
        <f>VLOOKUP(B56,'МССК-7 (Эл.)'!$A$2:$F$944,5)</f>
        <v>0</v>
      </c>
      <c r="E56" s="141" t="str">
        <f t="shared" si="2"/>
        <v>Блок вентиляционный</v>
      </c>
      <c r="F56" s="141" t="str">
        <f t="shared" si="1"/>
        <v>Блок вентиляционный - ЭЛ 30 16 78</v>
      </c>
      <c r="H56"/>
    </row>
    <row r="57" spans="1:8" x14ac:dyDescent="0.25">
      <c r="A57" s="144" t="s">
        <v>148</v>
      </c>
      <c r="B57" s="144" t="s">
        <v>283</v>
      </c>
      <c r="C57" s="144" t="str">
        <f>VLOOKUP(B57,'МССК-7 (Эл.)'!$A$2:$F$944,4)</f>
        <v>Мансардное окно</v>
      </c>
      <c r="D57" s="144">
        <f>VLOOKUP(B57,'МССК-7 (Эл.)'!$A$2:$F$944,5)</f>
        <v>0</v>
      </c>
      <c r="E57" s="144" t="str">
        <f t="shared" si="2"/>
        <v>Мансардное окно</v>
      </c>
      <c r="F57" s="144" t="str">
        <f t="shared" si="1"/>
        <v>Мансардное окно - ЭЛ 20 30 24</v>
      </c>
      <c r="H57"/>
    </row>
    <row r="58" spans="1:8" x14ac:dyDescent="0.25">
      <c r="A58" s="144" t="s">
        <v>148</v>
      </c>
      <c r="B58" s="145" t="s">
        <v>284</v>
      </c>
      <c r="C58" s="144" t="str">
        <f>VLOOKUP(B58,'МССК-7 (Эл.)'!$A$2:$F$944,4)</f>
        <v>Балконный блок</v>
      </c>
      <c r="D58" s="144">
        <f>VLOOKUP(B58,'МССК-7 (Эл.)'!$A$2:$F$944,5)</f>
        <v>0</v>
      </c>
      <c r="E58" s="144" t="str">
        <f t="shared" si="2"/>
        <v>Балконный блок</v>
      </c>
      <c r="F58" s="144" t="str">
        <f t="shared" si="1"/>
        <v>Балконный блок - ЭЛ 30 18 09</v>
      </c>
      <c r="H58"/>
    </row>
    <row r="59" spans="1:8" x14ac:dyDescent="0.25">
      <c r="A59" s="144" t="s">
        <v>148</v>
      </c>
      <c r="B59" s="145" t="s">
        <v>151</v>
      </c>
      <c r="C59" s="144" t="str">
        <f>VLOOKUP(B59,'МССК-7 (Эл.)'!$A$2:$F$944,4)</f>
        <v>Окно</v>
      </c>
      <c r="D59" s="144">
        <f>VLOOKUP(B59,'МССК-7 (Эл.)'!$A$2:$F$944,5)</f>
        <v>0</v>
      </c>
      <c r="E59" s="144" t="str">
        <f t="shared" si="2"/>
        <v>Окно</v>
      </c>
      <c r="F59" s="144" t="str">
        <f t="shared" si="1"/>
        <v>Окно - ЭЛ 30 18 40</v>
      </c>
      <c r="H59"/>
    </row>
    <row r="60" spans="1:8" x14ac:dyDescent="0.25">
      <c r="A60" s="144" t="s">
        <v>148</v>
      </c>
      <c r="B60" s="145" t="s">
        <v>285</v>
      </c>
      <c r="C60" s="144" t="str">
        <f>VLOOKUP(B60,'МССК-7 (Эл.)'!$A$2:$F$944,4)</f>
        <v>Фонарь зенитный</v>
      </c>
      <c r="D60" s="144">
        <f>VLOOKUP(B60,'МССК-7 (Эл.)'!$A$2:$F$944,5)</f>
        <v>0</v>
      </c>
      <c r="E60" s="144" t="str">
        <f t="shared" si="2"/>
        <v>Фонарь зенитный</v>
      </c>
      <c r="F60" s="144" t="str">
        <f t="shared" si="1"/>
        <v>Фонарь зенитный - ЭЛ 30 18 52</v>
      </c>
      <c r="H60"/>
    </row>
    <row r="61" spans="1:8" x14ac:dyDescent="0.25">
      <c r="A61" s="144" t="s">
        <v>148</v>
      </c>
      <c r="B61" s="145" t="s">
        <v>250</v>
      </c>
      <c r="C61" s="144" t="str">
        <f>VLOOKUP(B61,'МССК-7 (Эл.)'!$A$2:$F$944,4)</f>
        <v>Фонарь зенитный</v>
      </c>
      <c r="D61" s="144" t="str">
        <f>VLOOKUP(B61,'МССК-7 (Эл.)'!$A$2:$F$944,5)</f>
        <v>Панель оконная фонарная</v>
      </c>
      <c r="E61" s="144" t="str">
        <f t="shared" si="2"/>
        <v>Панель оконная фонарная</v>
      </c>
      <c r="F61" s="144" t="str">
        <f t="shared" si="1"/>
        <v>Панель оконная фонарная - ЭЛ 30 18 52 10</v>
      </c>
      <c r="H61"/>
    </row>
    <row r="62" spans="1:8" x14ac:dyDescent="0.25">
      <c r="E62"/>
      <c r="F62"/>
    </row>
    <row r="65" spans="1:8" x14ac:dyDescent="0.25">
      <c r="E65"/>
      <c r="F65"/>
    </row>
    <row r="66" spans="1:8" x14ac:dyDescent="0.25">
      <c r="E66"/>
      <c r="F66"/>
    </row>
    <row r="67" spans="1:8" x14ac:dyDescent="0.25">
      <c r="A67" s="141" t="s">
        <v>4746</v>
      </c>
      <c r="B67" s="142" t="s">
        <v>3422</v>
      </c>
      <c r="C67" s="141" t="str">
        <f>VLOOKUP($B67,'МССК-8 (Мат.)'!$A$2:$F$944,3)</f>
        <v>Дерево</v>
      </c>
      <c r="D67" s="141" t="str">
        <f>VLOOKUP($B67,'МССК-8 (Мат.)'!$A$2:$F$944,4)</f>
        <v xml:space="preserve"> </v>
      </c>
      <c r="E67" s="141" t="str">
        <f t="shared" ref="E67:E74" si="3">IF(OR(D67=" ",D67="",D67=0),C67,D67)</f>
        <v>Дерево</v>
      </c>
      <c r="F67" s="141" t="str">
        <f t="shared" ref="F67:F76" si="4">E67&amp;" - "&amp;B67&amp;""</f>
        <v>Дерево - СТ 00 20</v>
      </c>
    </row>
    <row r="68" spans="1:8" x14ac:dyDescent="0.25">
      <c r="A68" s="141" t="s">
        <v>4746</v>
      </c>
      <c r="B68" s="142" t="s">
        <v>3424</v>
      </c>
      <c r="C68" s="141" t="str">
        <f>VLOOKUP($B68,'МССК-8 (Мат.)'!$A$2:$F$944,3)</f>
        <v>Камень</v>
      </c>
      <c r="D68" s="141" t="str">
        <f>VLOOKUP($B68,'МССК-8 (Мат.)'!$A$2:$F$944,4)</f>
        <v xml:space="preserve"> </v>
      </c>
      <c r="E68" s="141" t="str">
        <f>IF(OR(D68=" ",D68="",D68=0),C68,D68)</f>
        <v>Камень</v>
      </c>
      <c r="F68" s="141" t="str">
        <f t="shared" si="4"/>
        <v>Камень - СТ 00 30</v>
      </c>
    </row>
    <row r="69" spans="1:8" x14ac:dyDescent="0.25">
      <c r="A69" s="141" t="s">
        <v>4746</v>
      </c>
      <c r="B69" s="142" t="s">
        <v>3426</v>
      </c>
      <c r="C69" s="141" t="str">
        <f>VLOOKUP($B69,'МССК-8 (Мат.)'!$A$2:$F$944,3)</f>
        <v>Кирпич</v>
      </c>
      <c r="D69" s="141" t="str">
        <f>VLOOKUP($B69,'МССК-8 (Мат.)'!$A$2:$F$944,4)</f>
        <v xml:space="preserve"> </v>
      </c>
      <c r="E69" s="141" t="str">
        <f>IF(OR(D69=" ",D69="",D69=0),C69,D69)</f>
        <v>Кирпич</v>
      </c>
      <c r="F69" s="141" t="str">
        <f t="shared" si="4"/>
        <v>Кирпич - СТ 00 40</v>
      </c>
    </row>
    <row r="70" spans="1:8" x14ac:dyDescent="0.25">
      <c r="A70" s="141" t="s">
        <v>4746</v>
      </c>
      <c r="B70" s="142" t="s">
        <v>3428</v>
      </c>
      <c r="C70" s="141" t="str">
        <f>VLOOKUP($B70,'МССК-8 (Мат.)'!$A$2:$F$944,3)</f>
        <v>Композит</v>
      </c>
      <c r="D70" s="141" t="str">
        <f>VLOOKUP($B70,'МССК-8 (Мат.)'!$A$2:$F$944,4)</f>
        <v xml:space="preserve"> </v>
      </c>
      <c r="E70" s="141" t="str">
        <f t="shared" si="3"/>
        <v>Композит</v>
      </c>
      <c r="F70" s="141" t="str">
        <f t="shared" si="4"/>
        <v>Композит - СТ 00 50</v>
      </c>
    </row>
    <row r="71" spans="1:8" x14ac:dyDescent="0.25">
      <c r="A71" s="141" t="s">
        <v>4746</v>
      </c>
      <c r="B71" s="142" t="s">
        <v>3430</v>
      </c>
      <c r="C71" s="141" t="str">
        <f>VLOOKUP($B71,'МССК-8 (Мат.)'!$A$2:$F$944,3)</f>
        <v>Сталь</v>
      </c>
      <c r="D71" s="141" t="str">
        <f>VLOOKUP($B71,'МССК-8 (Мат.)'!$A$2:$F$944,4)</f>
        <v xml:space="preserve"> </v>
      </c>
      <c r="E71" s="141" t="str">
        <f t="shared" si="3"/>
        <v>Сталь</v>
      </c>
      <c r="F71" s="141" t="str">
        <f t="shared" si="4"/>
        <v>Сталь - СТ 00 60</v>
      </c>
    </row>
    <row r="72" spans="1:8" x14ac:dyDescent="0.25">
      <c r="A72" s="141" t="s">
        <v>4746</v>
      </c>
      <c r="B72" s="142" t="s">
        <v>175</v>
      </c>
      <c r="C72" s="141" t="str">
        <f>VLOOKUP($B72,'МССК-8 (Мат.)'!$A$2:$F$944,3)</f>
        <v>Стекло</v>
      </c>
      <c r="D72" s="141" t="str">
        <f>VLOOKUP($B72,'МССК-8 (Мат.)'!$A$2:$F$944,4)</f>
        <v xml:space="preserve"> </v>
      </c>
      <c r="E72" s="141" t="str">
        <f t="shared" si="3"/>
        <v>Стекло</v>
      </c>
      <c r="F72" s="141" t="str">
        <f t="shared" si="4"/>
        <v>Стекло - СТ 00 70</v>
      </c>
    </row>
    <row r="73" spans="1:8" x14ac:dyDescent="0.25">
      <c r="A73" s="141" t="s">
        <v>4746</v>
      </c>
      <c r="B73" s="142" t="s">
        <v>184</v>
      </c>
      <c r="C73" s="141" t="str">
        <f>VLOOKUP($B73,'МССК-8 (Мат.)'!$A$2:$F$944,3)</f>
        <v>Пластмасса</v>
      </c>
      <c r="D73" s="141" t="str">
        <f>VLOOKUP($B73,'МССК-8 (Мат.)'!$A$2:$F$944,4)</f>
        <v xml:space="preserve"> </v>
      </c>
      <c r="E73" s="141" t="str">
        <f t="shared" si="3"/>
        <v>Пластмасса</v>
      </c>
      <c r="F73" s="141" t="str">
        <f t="shared" si="4"/>
        <v>Пластмасса - СТ 00 80</v>
      </c>
    </row>
    <row r="74" spans="1:8" x14ac:dyDescent="0.25">
      <c r="A74" s="141" t="s">
        <v>4746</v>
      </c>
      <c r="B74" s="142" t="s">
        <v>3491</v>
      </c>
      <c r="C74" s="141" t="str">
        <f>VLOOKUP($B74,'МССК-8 (Мат.)'!$A$2:$F$944,3)</f>
        <v>Металл</v>
      </c>
      <c r="D74" s="141" t="str">
        <f>VLOOKUP($B74,'МССК-8 (Мат.)'!$A$2:$F$944,4)</f>
        <v>Цветные металлы, сплавы</v>
      </c>
      <c r="E74" s="141" t="str">
        <f t="shared" si="3"/>
        <v>Цветные металлы, сплавы</v>
      </c>
      <c r="F74" s="141" t="str">
        <f t="shared" si="4"/>
        <v>Цветные металлы, сплавы - СТ 10 02 20</v>
      </c>
    </row>
    <row r="75" spans="1:8" x14ac:dyDescent="0.25">
      <c r="A75" s="141" t="s">
        <v>4746</v>
      </c>
      <c r="B75" s="142" t="s">
        <v>3940</v>
      </c>
      <c r="C75" s="141" t="str">
        <f>VLOOKUP($B75,'МССК-8 (Мат.)'!$A$2:$F$944,3)</f>
        <v>Отделочные материалы</v>
      </c>
      <c r="D75" s="141" t="str">
        <f>VLOOKUP($B75,'МССК-8 (Мат.)'!$A$2:$F$944,4)</f>
        <v>Штукатурные растворы</v>
      </c>
      <c r="E75" s="141" t="str">
        <f>IF(OR(D75=" ",D75="",D75=0),C75,D75)</f>
        <v>Штукатурные растворы</v>
      </c>
      <c r="F75" s="141" t="str">
        <f t="shared" si="4"/>
        <v>Штукатурные растворы - СТ 10 13 30</v>
      </c>
    </row>
    <row r="76" spans="1:8" x14ac:dyDescent="0.25">
      <c r="A76" s="141" t="s">
        <v>4746</v>
      </c>
      <c r="B76" s="142" t="s">
        <v>3904</v>
      </c>
      <c r="C76" s="141" t="str">
        <f>VLOOKUP($B76,'МССК-8 (Мат.)'!$A$2:$F$944,3)</f>
        <v>Отделочные материалы</v>
      </c>
      <c r="D76" s="141" t="str">
        <f>VLOOKUP($B76,'МССК-8 (Мат.)'!$A$2:$F$944,4)</f>
        <v>Отделочные материалы фасадов</v>
      </c>
      <c r="E76" s="141" t="str">
        <f>IF(OR(D76=" ",D76="",D76=0),C76,D76)</f>
        <v>Отделочные материалы фасадов</v>
      </c>
      <c r="F76" s="141" t="str">
        <f t="shared" si="4"/>
        <v>Отделочные материалы фасадов - СТ 10 13 10 30</v>
      </c>
      <c r="H76"/>
    </row>
    <row r="81" spans="1:8" x14ac:dyDescent="0.25">
      <c r="E81"/>
      <c r="F81"/>
    </row>
    <row r="82" spans="1:8" x14ac:dyDescent="0.25">
      <c r="A82" s="141" t="s">
        <v>70</v>
      </c>
      <c r="B82" s="141" t="s">
        <v>106</v>
      </c>
      <c r="C82" s="141" t="str">
        <f>VLOOKUP($B82,'МССК-5 (Пом.)'!$A$2:$D$641,2)</f>
        <v>Общая площадь</v>
      </c>
      <c r="D82" s="141">
        <f>VLOOKUP($B82,'МССК-5 (Пом.)'!$A$2:$D$641,3)</f>
        <v>0</v>
      </c>
      <c r="E82" s="141" t="str">
        <f t="shared" ref="E82:E108" si="5">IF(D82=0,C82,D82)</f>
        <v>Общая площадь</v>
      </c>
      <c r="F82" s="141" t="str">
        <f t="shared" si="1"/>
        <v>Общая площадь - ПЗ 03</v>
      </c>
      <c r="G82" s="152"/>
      <c r="H82"/>
    </row>
    <row r="83" spans="1:8" x14ac:dyDescent="0.25">
      <c r="A83" s="141" t="s">
        <v>70</v>
      </c>
      <c r="B83" s="141" t="s">
        <v>258</v>
      </c>
      <c r="C83" s="141" t="str">
        <f>VLOOKUP($B83,'МССК-5 (Пом.)'!$A$2:$D$641,2)</f>
        <v>Помещения квартир</v>
      </c>
      <c r="D83" s="141">
        <f>VLOOKUP($B83,'МССК-5 (Пом.)'!$A$2:$D$641,3)</f>
        <v>0</v>
      </c>
      <c r="E83" s="141" t="str">
        <f t="shared" si="5"/>
        <v>Помещения квартир</v>
      </c>
      <c r="F83" s="141" t="str">
        <f t="shared" si="1"/>
        <v>Помещения квартир - ПЗ 30</v>
      </c>
      <c r="G83" s="154"/>
      <c r="H83"/>
    </row>
    <row r="84" spans="1:8" x14ac:dyDescent="0.25">
      <c r="A84" s="141" t="s">
        <v>70</v>
      </c>
      <c r="B84" s="142" t="s">
        <v>259</v>
      </c>
      <c r="C84" s="141" t="str">
        <f>VLOOKUP($B84,'МССК-5 (Пом.)'!$A$2:$D$641,2)</f>
        <v>Помещения квартир</v>
      </c>
      <c r="D84" s="141" t="str">
        <f>VLOOKUP($B84,'МССК-5 (Пом.)'!$A$2:$D$641,3)</f>
        <v>Жилые помещения</v>
      </c>
      <c r="E84" s="141" t="str">
        <f t="shared" si="5"/>
        <v>Жилые помещения</v>
      </c>
      <c r="F84" s="141" t="str">
        <f t="shared" si="1"/>
        <v>Жилые помещения - ПЗ 30 10</v>
      </c>
      <c r="G84" s="155"/>
      <c r="H84"/>
    </row>
    <row r="85" spans="1:8" x14ac:dyDescent="0.25">
      <c r="A85" s="141" t="s">
        <v>70</v>
      </c>
      <c r="B85" s="142" t="s">
        <v>260</v>
      </c>
      <c r="C85" s="141" t="str">
        <f>VLOOKUP($B85,'МССК-5 (Пом.)'!$A$2:$D$641,2)</f>
        <v>Помещения квартир</v>
      </c>
      <c r="D85" s="141" t="str">
        <f>VLOOKUP($B85,'МССК-5 (Пом.)'!$A$2:$D$641,3)</f>
        <v>Вспомогательные помещения</v>
      </c>
      <c r="E85" s="141" t="str">
        <f t="shared" si="5"/>
        <v>Вспомогательные помещения</v>
      </c>
      <c r="F85" s="141" t="str">
        <f t="shared" si="1"/>
        <v>Вспомогательные помещения - ПЗ 30 20</v>
      </c>
      <c r="G85" s="153"/>
      <c r="H85"/>
    </row>
    <row r="86" spans="1:8" x14ac:dyDescent="0.25">
      <c r="A86" s="141" t="s">
        <v>70</v>
      </c>
      <c r="B86" s="142" t="s">
        <v>261</v>
      </c>
      <c r="C86" s="141" t="str">
        <f>VLOOKUP($B86,'МССК-5 (Пом.)'!$A$2:$D$641,2)</f>
        <v>Помещения квартир</v>
      </c>
      <c r="D86" s="141" t="str">
        <f>VLOOKUP($B86,'МССК-5 (Пом.)'!$A$2:$D$641,3)</f>
        <v>Неотапливаемые помещения</v>
      </c>
      <c r="E86" s="141" t="str">
        <f t="shared" si="5"/>
        <v>Неотапливаемые помещения</v>
      </c>
      <c r="F86" s="141" t="str">
        <f t="shared" si="1"/>
        <v>Неотапливаемые помещения - ПЗ 30 30</v>
      </c>
      <c r="G86" s="156"/>
      <c r="H86"/>
    </row>
    <row r="87" spans="1:8" x14ac:dyDescent="0.25">
      <c r="A87" s="141" t="s">
        <v>70</v>
      </c>
      <c r="B87" s="142" t="s">
        <v>262</v>
      </c>
      <c r="C87" s="141" t="str">
        <f>VLOOKUP($B87,'МССК-5 (Пом.)'!$A$2:$D$641,2)</f>
        <v>Общественная зона</v>
      </c>
      <c r="D87" s="141" t="str">
        <f>VLOOKUP($B87,'МССК-5 (Пом.)'!$A$2:$D$641,3)</f>
        <v>Административно-деловые помещения</v>
      </c>
      <c r="E87" s="141" t="str">
        <f t="shared" si="5"/>
        <v>Административно-деловые помещения</v>
      </c>
      <c r="F87" s="141" t="str">
        <f t="shared" si="1"/>
        <v>Административно-деловые помещения - ПЗ 31 01</v>
      </c>
      <c r="G87" s="153"/>
      <c r="H87"/>
    </row>
    <row r="88" spans="1:8" x14ac:dyDescent="0.25">
      <c r="A88" s="141" t="s">
        <v>70</v>
      </c>
      <c r="B88" s="142" t="s">
        <v>263</v>
      </c>
      <c r="C88" s="141" t="str">
        <f>VLOOKUP($B88,'МССК-5 (Пом.)'!$A$2:$D$641,2)</f>
        <v>Общественная зона</v>
      </c>
      <c r="D88" s="141" t="str">
        <f>VLOOKUP($B88,'МССК-5 (Пом.)'!$A$2:$D$641,3)</f>
        <v>Помещения информационно-технические</v>
      </c>
      <c r="E88" s="141" t="str">
        <f t="shared" si="5"/>
        <v>Помещения информационно-технические</v>
      </c>
      <c r="F88" s="141" t="str">
        <f t="shared" si="1"/>
        <v>Помещения информационно-технические - ПЗ 31 02</v>
      </c>
      <c r="G88" s="153"/>
      <c r="H88"/>
    </row>
    <row r="89" spans="1:8" x14ac:dyDescent="0.25">
      <c r="A89" s="141" t="s">
        <v>70</v>
      </c>
      <c r="B89" s="142" t="s">
        <v>264</v>
      </c>
      <c r="C89" s="141" t="str">
        <f>VLOOKUP($B89,'МССК-5 (Пом.)'!$A$2:$D$641,2)</f>
        <v>Общественная зона</v>
      </c>
      <c r="D89" s="141" t="str">
        <f>VLOOKUP($B89,'МССК-5 (Пом.)'!$A$2:$D$641,3)</f>
        <v>Театрально-сценические помещения</v>
      </c>
      <c r="E89" s="141" t="str">
        <f t="shared" si="5"/>
        <v>Театрально-сценические помещения</v>
      </c>
      <c r="F89" s="141" t="str">
        <f t="shared" ref="F89:F133" si="6">E89&amp;" - "&amp;B89&amp;""</f>
        <v>Театрально-сценические помещения - ПЗ 31 03</v>
      </c>
      <c r="H89"/>
    </row>
    <row r="90" spans="1:8" x14ac:dyDescent="0.25">
      <c r="A90" s="141" t="s">
        <v>70</v>
      </c>
      <c r="B90" s="142" t="s">
        <v>265</v>
      </c>
      <c r="C90" s="141" t="str">
        <f>VLOOKUP($B90,'МССК-5 (Пом.)'!$A$2:$D$641,2)</f>
        <v>Общественная зона</v>
      </c>
      <c r="D90" s="141" t="str">
        <f>VLOOKUP($B90,'МССК-5 (Пом.)'!$A$2:$D$641,3)</f>
        <v>Помещения тира</v>
      </c>
      <c r="E90" s="141" t="str">
        <f t="shared" si="5"/>
        <v>Помещения тира</v>
      </c>
      <c r="F90" s="141" t="str">
        <f t="shared" si="6"/>
        <v>Помещения тира - ПЗ 31 04</v>
      </c>
      <c r="H90"/>
    </row>
    <row r="91" spans="1:8" x14ac:dyDescent="0.25">
      <c r="A91" s="141" t="s">
        <v>70</v>
      </c>
      <c r="B91" s="142" t="s">
        <v>266</v>
      </c>
      <c r="C91" s="141" t="str">
        <f>VLOOKUP($B91,'МССК-5 (Пом.)'!$A$2:$D$641,2)</f>
        <v>Общественная зона</v>
      </c>
      <c r="D91" s="141" t="str">
        <f>VLOOKUP($B91,'МССК-5 (Пом.)'!$A$2:$D$641,3)</f>
        <v>Помещения хранения оружия и боеприпасов</v>
      </c>
      <c r="E91" s="141" t="str">
        <f t="shared" si="5"/>
        <v>Помещения хранения оружия и боеприпасов</v>
      </c>
      <c r="F91" s="141" t="str">
        <f t="shared" si="6"/>
        <v>Помещения хранения оружия и боеприпасов - ПЗ 31 05</v>
      </c>
      <c r="H91"/>
    </row>
    <row r="92" spans="1:8" x14ac:dyDescent="0.25">
      <c r="A92" s="141" t="s">
        <v>70</v>
      </c>
      <c r="B92" s="142" t="s">
        <v>267</v>
      </c>
      <c r="C92" s="141" t="str">
        <f>VLOOKUP($B92,'МССК-5 (Пом.)'!$A$2:$D$641,2)</f>
        <v>Общественная зона</v>
      </c>
      <c r="D92" s="141" t="str">
        <f>VLOOKUP($B92,'МССК-5 (Пом.)'!$A$2:$D$641,3)</f>
        <v>Помещения полиции</v>
      </c>
      <c r="E92" s="141" t="str">
        <f t="shared" si="5"/>
        <v>Помещения полиции</v>
      </c>
      <c r="F92" s="141" t="str">
        <f t="shared" si="6"/>
        <v>Помещения полиции - ПЗ 31 06</v>
      </c>
      <c r="H92"/>
    </row>
    <row r="93" spans="1:8" x14ac:dyDescent="0.25">
      <c r="A93" s="141" t="s">
        <v>70</v>
      </c>
      <c r="B93" s="142" t="s">
        <v>268</v>
      </c>
      <c r="C93" s="141" t="str">
        <f>VLOOKUP($B93,'МССК-5 (Пом.)'!$A$2:$D$641,2)</f>
        <v>Общественная зона</v>
      </c>
      <c r="D93" s="141" t="str">
        <f>VLOOKUP($B93,'МССК-5 (Пом.)'!$A$2:$D$641,3)</f>
        <v>Нежилые общественные помещения</v>
      </c>
      <c r="E93" s="141" t="str">
        <f t="shared" si="5"/>
        <v>Нежилые общественные помещения</v>
      </c>
      <c r="F93" s="141" t="str">
        <f t="shared" si="6"/>
        <v>Нежилые общественные помещения - ПЗ 31 07</v>
      </c>
      <c r="G93" s="155"/>
      <c r="H93"/>
    </row>
    <row r="94" spans="1:8" x14ac:dyDescent="0.25">
      <c r="A94" s="141" t="s">
        <v>70</v>
      </c>
      <c r="B94" s="142" t="s">
        <v>269</v>
      </c>
      <c r="C94" s="141" t="str">
        <f>VLOOKUP($B94,'МССК-5 (Пом.)'!$A$2:$D$641,2)</f>
        <v>Общественная зона</v>
      </c>
      <c r="D94" s="141" t="str">
        <f>VLOOKUP($B94,'МССК-5 (Пом.)'!$A$2:$D$641,3)</f>
        <v>Помещения входной группы</v>
      </c>
      <c r="E94" s="141" t="str">
        <f t="shared" si="5"/>
        <v>Помещения входной группы</v>
      </c>
      <c r="F94" s="141" t="str">
        <f t="shared" si="6"/>
        <v>Помещения входной группы - ПЗ 31 08</v>
      </c>
      <c r="G94" s="154"/>
      <c r="H94"/>
    </row>
    <row r="95" spans="1:8" x14ac:dyDescent="0.25">
      <c r="A95" s="141" t="s">
        <v>70</v>
      </c>
      <c r="B95" s="142" t="s">
        <v>270</v>
      </c>
      <c r="C95" s="141" t="str">
        <f>VLOOKUP($B95,'МССК-5 (Пом.)'!$A$2:$D$641,2)</f>
        <v>Общественная зона</v>
      </c>
      <c r="D95" s="141" t="str">
        <f>VLOOKUP($B95,'МССК-5 (Пом.)'!$A$2:$D$641,3)</f>
        <v>Помещение без конкретного функционального назначения (БКФН)</v>
      </c>
      <c r="E95" s="141" t="str">
        <f t="shared" si="5"/>
        <v>Помещение без конкретного функционального назначения (БКФН)</v>
      </c>
      <c r="F95" s="141" t="str">
        <f t="shared" si="6"/>
        <v>Помещение без конкретного функционального назначения (БКФН) - ПЗ 31 09</v>
      </c>
      <c r="G95" s="157"/>
      <c r="H95"/>
    </row>
    <row r="96" spans="1:8" x14ac:dyDescent="0.25">
      <c r="A96" s="141" t="s">
        <v>70</v>
      </c>
      <c r="B96" s="142" t="s">
        <v>271</v>
      </c>
      <c r="C96" s="141" t="str">
        <f>VLOOKUP($B96,'МССК-5 (Пом.)'!$A$2:$D$641,2)</f>
        <v>Общественная зона</v>
      </c>
      <c r="D96" s="141" t="str">
        <f>VLOOKUP($B96,'МССК-5 (Пом.)'!$A$2:$D$641,3)</f>
        <v>Вспомогательные помещения</v>
      </c>
      <c r="E96" s="141" t="str">
        <f t="shared" si="5"/>
        <v>Вспомогательные помещения</v>
      </c>
      <c r="F96" s="141" t="str">
        <f t="shared" si="6"/>
        <v>Вспомогательные помещения - ПЗ 31 10</v>
      </c>
      <c r="H96"/>
    </row>
    <row r="97" spans="1:8" x14ac:dyDescent="0.25">
      <c r="A97" s="141" t="s">
        <v>70</v>
      </c>
      <c r="B97" s="142" t="s">
        <v>272</v>
      </c>
      <c r="C97" s="141" t="str">
        <f>VLOOKUP($B97,'МССК-5 (Пом.)'!$A$2:$D$641,2)</f>
        <v>Общественная зона</v>
      </c>
      <c r="D97" s="141" t="str">
        <f>VLOOKUP($B97,'МССК-5 (Пом.)'!$A$2:$D$641,3)</f>
        <v>Помещения обслуживающего персонала</v>
      </c>
      <c r="E97" s="141" t="str">
        <f t="shared" si="5"/>
        <v>Помещения обслуживающего персонала</v>
      </c>
      <c r="F97" s="141" t="str">
        <f t="shared" si="6"/>
        <v>Помещения обслуживающего персонала - ПЗ 31 12</v>
      </c>
      <c r="H97"/>
    </row>
    <row r="98" spans="1:8" x14ac:dyDescent="0.25">
      <c r="A98" s="141" t="s">
        <v>70</v>
      </c>
      <c r="B98" s="142" t="s">
        <v>273</v>
      </c>
      <c r="C98" s="141" t="str">
        <f>VLOOKUP($B98,'МССК-5 (Пом.)'!$A$2:$D$641,2)</f>
        <v>Общественная зона</v>
      </c>
      <c r="D98" s="141" t="str">
        <f>VLOOKUP($B98,'МССК-5 (Пом.)'!$A$2:$D$641,3)</f>
        <v>Техническое помещение</v>
      </c>
      <c r="E98" s="141" t="str">
        <f t="shared" si="5"/>
        <v>Техническое помещение</v>
      </c>
      <c r="F98" s="141" t="str">
        <f t="shared" si="6"/>
        <v>Техническое помещение - ПЗ 31 13</v>
      </c>
      <c r="G98" s="156"/>
      <c r="H98"/>
    </row>
    <row r="99" spans="1:8" x14ac:dyDescent="0.25">
      <c r="A99" s="141" t="s">
        <v>70</v>
      </c>
      <c r="B99" s="142" t="s">
        <v>274</v>
      </c>
      <c r="C99" s="141" t="str">
        <f>VLOOKUP($B99,'МССК-5 (Пом.)'!$A$2:$D$641,2)</f>
        <v>Общественная зона</v>
      </c>
      <c r="D99" s="141" t="str">
        <f>VLOOKUP($B99,'МССК-5 (Пом.)'!$A$2:$D$641,3)</f>
        <v>Помещения приема пищи</v>
      </c>
      <c r="E99" s="141" t="str">
        <f t="shared" si="5"/>
        <v>Помещения приема пищи</v>
      </c>
      <c r="F99" s="141" t="str">
        <f t="shared" si="6"/>
        <v>Помещения приема пищи - ПЗ 31 14</v>
      </c>
      <c r="H99"/>
    </row>
    <row r="100" spans="1:8" x14ac:dyDescent="0.25">
      <c r="A100" s="141" t="s">
        <v>70</v>
      </c>
      <c r="B100" s="142" t="s">
        <v>275</v>
      </c>
      <c r="C100" s="141" t="str">
        <f>VLOOKUP($B100,'МССК-5 (Пом.)'!$A$2:$D$641,2)</f>
        <v>Общественная зона</v>
      </c>
      <c r="D100" s="141" t="str">
        <f>VLOOKUP($B100,'МССК-5 (Пом.)'!$A$2:$D$641,3)</f>
        <v>Пищеблок</v>
      </c>
      <c r="E100" s="141" t="str">
        <f t="shared" si="5"/>
        <v>Пищеблок</v>
      </c>
      <c r="F100" s="141" t="str">
        <f t="shared" si="6"/>
        <v>Пищеблок - ПЗ 31 15</v>
      </c>
      <c r="H100"/>
    </row>
    <row r="101" spans="1:8" x14ac:dyDescent="0.25">
      <c r="A101" s="141" t="s">
        <v>70</v>
      </c>
      <c r="B101" s="142" t="s">
        <v>276</v>
      </c>
      <c r="C101" s="141" t="str">
        <f>VLOOKUP($B101,'МССК-5 (Пом.)'!$A$2:$D$641,2)</f>
        <v>Общественная зона</v>
      </c>
      <c r="D101" s="141" t="str">
        <f>VLOOKUP($B101,'МССК-5 (Пом.)'!$A$2:$D$641,3)</f>
        <v>Постирочная</v>
      </c>
      <c r="E101" s="141" t="str">
        <f t="shared" si="5"/>
        <v>Постирочная</v>
      </c>
      <c r="F101" s="141" t="str">
        <f t="shared" si="6"/>
        <v>Постирочная - ПЗ 31 16</v>
      </c>
      <c r="H101"/>
    </row>
    <row r="102" spans="1:8" x14ac:dyDescent="0.25">
      <c r="A102" s="141" t="s">
        <v>70</v>
      </c>
      <c r="B102" s="142" t="s">
        <v>277</v>
      </c>
      <c r="C102" s="141" t="str">
        <f>VLOOKUP($B102,'МССК-5 (Пом.)'!$A$2:$D$641,2)</f>
        <v>Общественная зона</v>
      </c>
      <c r="D102" s="141" t="str">
        <f>VLOOKUP($B102,'МССК-5 (Пом.)'!$A$2:$D$641,3)</f>
        <v>Помещения бассейна</v>
      </c>
      <c r="E102" s="141" t="str">
        <f t="shared" si="5"/>
        <v>Помещения бассейна</v>
      </c>
      <c r="F102" s="141" t="str">
        <f t="shared" si="6"/>
        <v>Помещения бассейна - ПЗ 31 17</v>
      </c>
      <c r="H102"/>
    </row>
    <row r="103" spans="1:8" x14ac:dyDescent="0.25">
      <c r="A103" s="141" t="s">
        <v>70</v>
      </c>
      <c r="B103" s="142" t="s">
        <v>278</v>
      </c>
      <c r="C103" s="141" t="str">
        <f>VLOOKUP($B103,'МССК-5 (Пом.)'!$A$2:$D$641,2)</f>
        <v>Специализированные помещения учебно-воспитательных организациий</v>
      </c>
      <c r="D103" s="141" t="str">
        <f>VLOOKUP($B103,'МССК-5 (Пом.)'!$A$2:$D$641,3)</f>
        <v>Кабинеты преподавателей</v>
      </c>
      <c r="E103" s="141" t="str">
        <f t="shared" si="5"/>
        <v>Кабинеты преподавателей</v>
      </c>
      <c r="F103" s="141" t="str">
        <f t="shared" si="6"/>
        <v>Кабинеты преподавателей - ПЗ 32 10</v>
      </c>
      <c r="H103"/>
    </row>
    <row r="104" spans="1:8" x14ac:dyDescent="0.25">
      <c r="A104" s="141" t="s">
        <v>70</v>
      </c>
      <c r="B104" s="142" t="s">
        <v>279</v>
      </c>
      <c r="C104" s="141" t="str">
        <f>VLOOKUP($B104,'МССК-5 (Пом.)'!$A$2:$D$641,2)</f>
        <v>Специализированные помещения учебно-воспитательных организациий</v>
      </c>
      <c r="D104" s="141" t="str">
        <f>VLOOKUP($B104,'МССК-5 (Пом.)'!$A$2:$D$641,3)</f>
        <v>Помещения медицинского блока</v>
      </c>
      <c r="E104" s="141" t="str">
        <f t="shared" si="5"/>
        <v>Помещения медицинского блока</v>
      </c>
      <c r="F104" s="141" t="str">
        <f t="shared" si="6"/>
        <v>Помещения медицинского блока - ПЗ 32 12</v>
      </c>
      <c r="H104"/>
    </row>
    <row r="105" spans="1:8" x14ac:dyDescent="0.25">
      <c r="A105" s="141" t="s">
        <v>70</v>
      </c>
      <c r="B105" s="142" t="s">
        <v>280</v>
      </c>
      <c r="C105" s="141" t="str">
        <f>VLOOKUP($B105,'МССК-5 (Пом.)'!$A$2:$D$641,2)</f>
        <v>Специализированные помещения учебно-воспитательных организациий</v>
      </c>
      <c r="D105" s="141" t="str">
        <f>VLOOKUP($B105,'МССК-5 (Пом.)'!$A$2:$D$641,3)</f>
        <v>Помещения групповой ячейки ДОО</v>
      </c>
      <c r="E105" s="141" t="str">
        <f t="shared" si="5"/>
        <v>Помещения групповой ячейки ДОО</v>
      </c>
      <c r="F105" s="141" t="str">
        <f t="shared" si="6"/>
        <v>Помещения групповой ячейки ДОО - ПЗ 32 13</v>
      </c>
      <c r="H105"/>
    </row>
    <row r="106" spans="1:8" x14ac:dyDescent="0.25">
      <c r="A106" s="141" t="s">
        <v>70</v>
      </c>
      <c r="B106" s="142" t="s">
        <v>281</v>
      </c>
      <c r="C106" s="141" t="str">
        <f>VLOOKUP($B106,'МССК-5 (Пом.)'!$A$2:$D$641,2)</f>
        <v>Специализированные помещения учебно-воспитательных организациий</v>
      </c>
      <c r="D106" s="141" t="str">
        <f>VLOOKUP($B106,'МССК-5 (Пом.)'!$A$2:$D$641,3)</f>
        <v>Помещения групповых занятий</v>
      </c>
      <c r="E106" s="141" t="str">
        <f t="shared" si="5"/>
        <v>Помещения групповых занятий</v>
      </c>
      <c r="F106" s="141" t="str">
        <f t="shared" si="6"/>
        <v>Помещения групповых занятий - ПЗ 32 14</v>
      </c>
      <c r="H106"/>
    </row>
    <row r="107" spans="1:8" x14ac:dyDescent="0.25">
      <c r="A107" s="141" t="s">
        <v>70</v>
      </c>
      <c r="B107" s="142" t="s">
        <v>282</v>
      </c>
      <c r="C107" s="141" t="str">
        <f>VLOOKUP($B107,'МССК-5 (Пом.)'!$A$2:$D$641,2)</f>
        <v>Специализированные помещения учебно-воспитательных организациий</v>
      </c>
      <c r="D107" s="141" t="str">
        <f>VLOOKUP($B107,'МССК-5 (Пом.)'!$A$2:$D$641,3)</f>
        <v>Учебные помещения</v>
      </c>
      <c r="E107" s="141" t="str">
        <f t="shared" si="5"/>
        <v>Учебные помещения</v>
      </c>
      <c r="F107" s="141" t="str">
        <f t="shared" si="6"/>
        <v>Учебные помещения - ПЗ 32 15</v>
      </c>
      <c r="H107"/>
    </row>
    <row r="108" spans="1:8" x14ac:dyDescent="0.25">
      <c r="A108" s="141" t="s">
        <v>70</v>
      </c>
      <c r="B108" s="142" t="s">
        <v>955</v>
      </c>
      <c r="C108" s="141" t="str">
        <f>VLOOKUP($B108,'МССК-5 (Пом.)'!$A$2:$D$641,2)</f>
        <v>Специализированные помещения учебно-воспитательных организациий</v>
      </c>
      <c r="D108" s="141" t="str">
        <f>VLOOKUP($B108,'МССК-5 (Пом.)'!$A$2:$D$641,3)</f>
        <v>Помещения учебной секции</v>
      </c>
      <c r="E108" s="141" t="str">
        <f t="shared" si="5"/>
        <v>Помещения учебной секции</v>
      </c>
      <c r="F108" s="141" t="str">
        <f t="shared" si="6"/>
        <v>Помещения учебной секции - ПЗ 32 16</v>
      </c>
      <c r="H108"/>
    </row>
    <row r="109" spans="1:8" x14ac:dyDescent="0.25">
      <c r="A109" s="141" t="s">
        <v>70</v>
      </c>
      <c r="B109" s="142" t="s">
        <v>965</v>
      </c>
      <c r="C109" s="141" t="str">
        <f>VLOOKUP($B109,'МССК-5 (Пом.)'!$A$2:$D$641,2)</f>
        <v>Специализированные помещения медицинских организаций</v>
      </c>
      <c r="D109" s="141" t="str">
        <f>VLOOKUP($B109,'МССК-5 (Пом.)'!$A$2:$D$641,3)</f>
        <v>Помещения входной группы</v>
      </c>
      <c r="E109" s="141" t="str">
        <f t="shared" ref="E109:E133" si="7">IF(D109=0,C109,D109)</f>
        <v>Помещения входной группы</v>
      </c>
      <c r="F109" s="141" t="str">
        <f t="shared" si="6"/>
        <v>Помещения входной группы - ПЗ 33 10</v>
      </c>
      <c r="G109" s="22"/>
      <c r="H109"/>
    </row>
    <row r="110" spans="1:8" x14ac:dyDescent="0.25">
      <c r="A110" s="141" t="s">
        <v>70</v>
      </c>
      <c r="B110" s="142" t="s">
        <v>980</v>
      </c>
      <c r="C110" s="141" t="str">
        <f>VLOOKUP($B110,'МССК-5 (Пом.)'!$A$2:$D$641,2)</f>
        <v>Специализированные помещения медицинских организаций</v>
      </c>
      <c r="D110" s="141" t="str">
        <f>VLOOKUP($B110,'МССК-5 (Пом.)'!$A$2:$D$641,3)</f>
        <v>Помещения регистратуры</v>
      </c>
      <c r="E110" s="141" t="str">
        <f t="shared" si="7"/>
        <v>Помещения регистратуры</v>
      </c>
      <c r="F110" s="141" t="str">
        <f t="shared" si="6"/>
        <v>Помещения регистратуры - ПЗ 33 12</v>
      </c>
      <c r="G110" s="22"/>
      <c r="H110"/>
    </row>
    <row r="111" spans="1:8" x14ac:dyDescent="0.25">
      <c r="A111" s="141" t="s">
        <v>70</v>
      </c>
      <c r="B111" s="142" t="s">
        <v>988</v>
      </c>
      <c r="C111" s="141" t="str">
        <f>VLOOKUP($B111,'МССК-5 (Пом.)'!$A$2:$D$641,2)</f>
        <v>Специализированные помещения медицинских организаций</v>
      </c>
      <c r="D111" s="141" t="str">
        <f>VLOOKUP($B111,'МССК-5 (Пом.)'!$A$2:$D$641,3)</f>
        <v>Помещения родового бокса</v>
      </c>
      <c r="E111" s="141" t="str">
        <f t="shared" si="7"/>
        <v>Помещения родового бокса</v>
      </c>
      <c r="F111" s="141" t="str">
        <f t="shared" si="6"/>
        <v>Помещения родового бокса - ПЗ 33 13</v>
      </c>
      <c r="G111" s="22"/>
      <c r="H111"/>
    </row>
    <row r="112" spans="1:8" x14ac:dyDescent="0.25">
      <c r="A112" s="141" t="s">
        <v>70</v>
      </c>
      <c r="B112" s="142" t="s">
        <v>1002</v>
      </c>
      <c r="C112" s="141" t="str">
        <f>VLOOKUP($B112,'МССК-5 (Пом.)'!$A$2:$D$641,2)</f>
        <v>Специализированные помещения медицинских организаций</v>
      </c>
      <c r="D112" s="141" t="str">
        <f>VLOOKUP($B112,'МССК-5 (Пом.)'!$A$2:$D$641,3)</f>
        <v>Помещения гемодиализа и детоксикации</v>
      </c>
      <c r="E112" s="141" t="str">
        <f t="shared" si="7"/>
        <v>Помещения гемодиализа и детоксикации</v>
      </c>
      <c r="F112" s="141" t="str">
        <f t="shared" si="6"/>
        <v>Помещения гемодиализа и детоксикации - ПЗ 33 14</v>
      </c>
      <c r="G112" s="22"/>
      <c r="H112"/>
    </row>
    <row r="113" spans="1:8" x14ac:dyDescent="0.25">
      <c r="A113" s="141" t="s">
        <v>70</v>
      </c>
      <c r="B113" s="142" t="s">
        <v>1018</v>
      </c>
      <c r="C113" s="141" t="str">
        <f>VLOOKUP($B113,'МССК-5 (Пом.)'!$A$2:$D$641,2)</f>
        <v>Специализированные помещения медицинских организаций</v>
      </c>
      <c r="D113" s="141" t="str">
        <f>VLOOKUP($B113,'МССК-5 (Пом.)'!$A$2:$D$641,3)</f>
        <v>Зуботехнические помещения</v>
      </c>
      <c r="E113" s="141" t="str">
        <f t="shared" si="7"/>
        <v>Зуботехнические помещения</v>
      </c>
      <c r="F113" s="141" t="str">
        <f t="shared" si="6"/>
        <v>Зуботехнические помещения - ПЗ 33 15</v>
      </c>
      <c r="G113" s="22"/>
      <c r="H113"/>
    </row>
    <row r="114" spans="1:8" x14ac:dyDescent="0.25">
      <c r="A114" s="141" t="s">
        <v>70</v>
      </c>
      <c r="B114" s="142" t="s">
        <v>1022</v>
      </c>
      <c r="C114" s="141" t="str">
        <f>VLOOKUP($B114,'МССК-5 (Пом.)'!$A$2:$D$641,2)</f>
        <v>Специализированные помещения медицинских организаций</v>
      </c>
      <c r="D114" s="141" t="str">
        <f>VLOOKUP($B114,'МССК-5 (Пом.)'!$A$2:$D$641,3)</f>
        <v>Помещения экстракорпорального оплодотворения</v>
      </c>
      <c r="E114" s="141" t="str">
        <f t="shared" si="7"/>
        <v>Помещения экстракорпорального оплодотворения</v>
      </c>
      <c r="F114" s="141" t="str">
        <f t="shared" si="6"/>
        <v>Помещения экстракорпорального оплодотворения - ПЗ 33 16</v>
      </c>
      <c r="G114" s="22"/>
      <c r="H114"/>
    </row>
    <row r="115" spans="1:8" x14ac:dyDescent="0.25">
      <c r="A115" s="141" t="s">
        <v>70</v>
      </c>
      <c r="B115" s="142" t="s">
        <v>1034</v>
      </c>
      <c r="C115" s="141" t="str">
        <f>VLOOKUP($B115,'МССК-5 (Пом.)'!$A$2:$D$641,2)</f>
        <v>Специализированные помещения медицинских организаций</v>
      </c>
      <c r="D115" s="141" t="str">
        <f>VLOOKUP($B115,'МССК-5 (Пом.)'!$A$2:$D$641,3)</f>
        <v>Помещения операционные</v>
      </c>
      <c r="E115" s="141" t="str">
        <f t="shared" si="7"/>
        <v>Помещения операционные</v>
      </c>
      <c r="F115" s="141" t="str">
        <f t="shared" si="6"/>
        <v>Помещения операционные - ПЗ 33 17</v>
      </c>
      <c r="G115" s="22"/>
      <c r="H115"/>
    </row>
    <row r="116" spans="1:8" x14ac:dyDescent="0.25">
      <c r="A116" s="141" t="s">
        <v>70</v>
      </c>
      <c r="B116" s="142" t="s">
        <v>1066</v>
      </c>
      <c r="C116" s="141" t="str">
        <f>VLOOKUP($B116,'МССК-5 (Пом.)'!$A$2:$D$641,2)</f>
        <v>Специализированные помещения медицинских организаций</v>
      </c>
      <c r="D116" s="141" t="str">
        <f>VLOOKUP($B116,'МССК-5 (Пом.)'!$A$2:$D$641,3)</f>
        <v>Помещения патолого-анатомические</v>
      </c>
      <c r="E116" s="141" t="str">
        <f t="shared" si="7"/>
        <v>Помещения патолого-анатомические</v>
      </c>
      <c r="F116" s="141" t="str">
        <f t="shared" si="6"/>
        <v>Помещения патолого-анатомические - ПЗ 33 18</v>
      </c>
      <c r="G116" s="22"/>
      <c r="H116"/>
    </row>
    <row r="117" spans="1:8" x14ac:dyDescent="0.25">
      <c r="A117" s="141" t="s">
        <v>70</v>
      </c>
      <c r="B117" s="142" t="s">
        <v>1106</v>
      </c>
      <c r="C117" s="141" t="str">
        <f>VLOOKUP($B117,'МССК-5 (Пом.)'!$A$2:$D$641,2)</f>
        <v>Специализированные помещения медицинских организаций</v>
      </c>
      <c r="D117" s="141" t="str">
        <f>VLOOKUP($B117,'МССК-5 (Пом.)'!$A$2:$D$641,3)</f>
        <v>Помещения переливания крови</v>
      </c>
      <c r="E117" s="141" t="str">
        <f t="shared" si="7"/>
        <v>Помещения переливания крови</v>
      </c>
      <c r="F117" s="141" t="str">
        <f t="shared" si="6"/>
        <v>Помещения переливания крови - ПЗ 33 19</v>
      </c>
      <c r="G117" s="22"/>
      <c r="H117"/>
    </row>
    <row r="118" spans="1:8" x14ac:dyDescent="0.25">
      <c r="A118" s="141" t="s">
        <v>70</v>
      </c>
      <c r="B118" s="142" t="s">
        <v>1110</v>
      </c>
      <c r="C118" s="141" t="str">
        <f>VLOOKUP($B118,'МССК-5 (Пом.)'!$A$2:$D$641,2)</f>
        <v>Специализированные помещения медицинских организаций</v>
      </c>
      <c r="D118" s="141" t="str">
        <f>VLOOKUP($B118,'МССК-5 (Пом.)'!$A$2:$D$641,3)</f>
        <v>Помещения реанимации и интенсивной терапии</v>
      </c>
      <c r="E118" s="141" t="str">
        <f t="shared" si="7"/>
        <v>Помещения реанимации и интенсивной терапии</v>
      </c>
      <c r="F118" s="141" t="str">
        <f t="shared" si="6"/>
        <v>Помещения реанимации и интенсивной терапии - ПЗ 33 20</v>
      </c>
      <c r="G118" s="22"/>
      <c r="H118"/>
    </row>
    <row r="119" spans="1:8" x14ac:dyDescent="0.25">
      <c r="A119" s="141" t="s">
        <v>70</v>
      </c>
      <c r="B119" s="142" t="s">
        <v>1120</v>
      </c>
      <c r="C119" s="141" t="str">
        <f>VLOOKUP($B119,'МССК-5 (Пом.)'!$A$2:$D$641,2)</f>
        <v>Специализированные помещения медицинских организаций</v>
      </c>
      <c r="D119" s="141" t="str">
        <f>VLOOKUP($B119,'МССК-5 (Пом.)'!$A$2:$D$641,3)</f>
        <v>Помещения инфекционные</v>
      </c>
      <c r="E119" s="141" t="str">
        <f t="shared" si="7"/>
        <v>Помещения инфекционные</v>
      </c>
      <c r="F119" s="141" t="str">
        <f t="shared" si="6"/>
        <v>Помещения инфекционные - ПЗ 33 21</v>
      </c>
      <c r="G119" s="22"/>
      <c r="H119"/>
    </row>
    <row r="120" spans="1:8" x14ac:dyDescent="0.25">
      <c r="A120" s="141" t="s">
        <v>70</v>
      </c>
      <c r="B120" s="142" t="s">
        <v>1126</v>
      </c>
      <c r="C120" s="141" t="str">
        <f>VLOOKUP($B120,'МССК-5 (Пом.)'!$A$2:$D$641,2)</f>
        <v>Специализированные помещения медицинских организаций</v>
      </c>
      <c r="D120" s="141" t="str">
        <f>VLOOKUP($B120,'МССК-5 (Пом.)'!$A$2:$D$641,3)</f>
        <v>Помещения психиатрии</v>
      </c>
      <c r="E120" s="141" t="str">
        <f t="shared" si="7"/>
        <v>Помещения психиатрии</v>
      </c>
      <c r="F120" s="141" t="str">
        <f t="shared" si="6"/>
        <v>Помещения психиатрии - ПЗ 33 22</v>
      </c>
      <c r="G120" s="22"/>
      <c r="H120"/>
    </row>
    <row r="121" spans="1:8" x14ac:dyDescent="0.25">
      <c r="A121" s="141" t="s">
        <v>70</v>
      </c>
      <c r="B121" s="142" t="s">
        <v>1132</v>
      </c>
      <c r="C121" s="141" t="str">
        <f>VLOOKUP($B121,'МССК-5 (Пом.)'!$A$2:$D$641,2)</f>
        <v>Специализированные помещения медицинских организаций</v>
      </c>
      <c r="D121" s="141" t="str">
        <f>VLOOKUP($B121,'МССК-5 (Пом.)'!$A$2:$D$641,3)</f>
        <v>Помещения наркологии</v>
      </c>
      <c r="E121" s="141" t="str">
        <f t="shared" si="7"/>
        <v>Помещения наркологии</v>
      </c>
      <c r="F121" s="141" t="str">
        <f t="shared" si="6"/>
        <v>Помещения наркологии - ПЗ 33 23</v>
      </c>
      <c r="G121" s="22"/>
      <c r="H121"/>
    </row>
    <row r="122" spans="1:8" x14ac:dyDescent="0.25">
      <c r="A122" s="141" t="s">
        <v>70</v>
      </c>
      <c r="B122" s="142" t="s">
        <v>1136</v>
      </c>
      <c r="C122" s="141" t="str">
        <f>VLOOKUP($B122,'МССК-5 (Пом.)'!$A$2:$D$641,2)</f>
        <v>Специализированные помещения медицинских организаций</v>
      </c>
      <c r="D122" s="141" t="str">
        <f>VLOOKUP($B122,'МССК-5 (Пом.)'!$A$2:$D$641,3)</f>
        <v>Помещения стоматологии</v>
      </c>
      <c r="E122" s="141" t="str">
        <f t="shared" si="7"/>
        <v>Помещения стоматологии</v>
      </c>
      <c r="F122" s="141" t="str">
        <f t="shared" si="6"/>
        <v>Помещения стоматологии - ПЗ 33 24</v>
      </c>
      <c r="G122" s="22"/>
      <c r="H122"/>
    </row>
    <row r="123" spans="1:8" x14ac:dyDescent="0.25">
      <c r="A123" s="141" t="s">
        <v>70</v>
      </c>
      <c r="B123" s="142" t="s">
        <v>1150</v>
      </c>
      <c r="C123" s="141" t="str">
        <f>VLOOKUP($B123,'МССК-5 (Пом.)'!$A$2:$D$641,2)</f>
        <v>Специализированные помещения медицинских организаций</v>
      </c>
      <c r="D123" s="141" t="str">
        <f>VLOOKUP($B123,'МССК-5 (Пом.)'!$A$2:$D$641,3)</f>
        <v>Помещения восстановительного лечения</v>
      </c>
      <c r="E123" s="141" t="str">
        <f t="shared" si="7"/>
        <v>Помещения восстановительного лечения</v>
      </c>
      <c r="F123" s="141" t="str">
        <f t="shared" si="6"/>
        <v>Помещения восстановительного лечения - ПЗ 33 25</v>
      </c>
      <c r="G123" s="22"/>
      <c r="H123"/>
    </row>
    <row r="124" spans="1:8" x14ac:dyDescent="0.25">
      <c r="A124" s="141" t="s">
        <v>70</v>
      </c>
      <c r="B124" s="142" t="s">
        <v>1254</v>
      </c>
      <c r="C124" s="141" t="str">
        <f>VLOOKUP($B124,'МССК-5 (Пом.)'!$A$2:$D$641,2)</f>
        <v>Специализированные помещения медицинских организаций</v>
      </c>
      <c r="D124" s="141" t="str">
        <f>VLOOKUP($B124,'МССК-5 (Пом.)'!$A$2:$D$641,3)</f>
        <v>Помещения родильные</v>
      </c>
      <c r="E124" s="141" t="str">
        <f t="shared" si="7"/>
        <v>Помещения родильные</v>
      </c>
      <c r="F124" s="141" t="str">
        <f t="shared" si="6"/>
        <v>Помещения родильные - ПЗ 33 26</v>
      </c>
      <c r="G124" s="22"/>
      <c r="H124"/>
    </row>
    <row r="125" spans="1:8" x14ac:dyDescent="0.25">
      <c r="A125" s="141" t="s">
        <v>70</v>
      </c>
      <c r="B125" s="142" t="s">
        <v>1264</v>
      </c>
      <c r="C125" s="141" t="str">
        <f>VLOOKUP($B125,'МССК-5 (Пом.)'!$A$2:$D$641,2)</f>
        <v>Специализированные помещения медицинских организаций</v>
      </c>
      <c r="D125" s="141" t="str">
        <f>VLOOKUP($B125,'МССК-5 (Пом.)'!$A$2:$D$641,3)</f>
        <v>Палаты и медицинские кабинеты</v>
      </c>
      <c r="E125" s="141" t="str">
        <f t="shared" si="7"/>
        <v>Палаты и медицинские кабинеты</v>
      </c>
      <c r="F125" s="141" t="str">
        <f t="shared" si="6"/>
        <v>Палаты и медицинские кабинеты - ПЗ 33 27</v>
      </c>
      <c r="G125" s="22"/>
      <c r="H125"/>
    </row>
    <row r="126" spans="1:8" x14ac:dyDescent="0.25">
      <c r="A126" s="141" t="s">
        <v>70</v>
      </c>
      <c r="B126" s="142" t="s">
        <v>1360</v>
      </c>
      <c r="C126" s="141" t="str">
        <f>VLOOKUP($B126,'МССК-5 (Пом.)'!$A$2:$D$641,2)</f>
        <v>Специализированные помещения медицинских организаций</v>
      </c>
      <c r="D126" s="141" t="str">
        <f>VLOOKUP($B126,'МССК-5 (Пом.)'!$A$2:$D$641,3)</f>
        <v>Диагностические лаборатории</v>
      </c>
      <c r="E126" s="141" t="str">
        <f t="shared" si="7"/>
        <v>Диагностические лаборатории</v>
      </c>
      <c r="F126" s="141" t="str">
        <f t="shared" si="6"/>
        <v>Диагностические лаборатории - ПЗ 33 28</v>
      </c>
      <c r="G126" s="22"/>
      <c r="H126"/>
    </row>
    <row r="127" spans="1:8" x14ac:dyDescent="0.25">
      <c r="A127" s="141" t="s">
        <v>70</v>
      </c>
      <c r="B127" s="142" t="s">
        <v>1378</v>
      </c>
      <c r="C127" s="141" t="str">
        <f>VLOOKUP($B127,'МССК-5 (Пом.)'!$A$2:$D$641,2)</f>
        <v>Специализированные помещения медицинских организаций</v>
      </c>
      <c r="D127" s="141" t="str">
        <f>VLOOKUP($B127,'МССК-5 (Пом.)'!$A$2:$D$641,3)</f>
        <v>Прочие помещения палатного отделения</v>
      </c>
      <c r="E127" s="141" t="str">
        <f t="shared" si="7"/>
        <v>Прочие помещения палатного отделения</v>
      </c>
      <c r="F127" s="141" t="str">
        <f t="shared" si="6"/>
        <v>Прочие помещения палатного отделения - ПЗ 33 29</v>
      </c>
      <c r="G127" s="22"/>
      <c r="H127"/>
    </row>
    <row r="128" spans="1:8" x14ac:dyDescent="0.25">
      <c r="A128" s="141" t="s">
        <v>70</v>
      </c>
      <c r="B128" s="142" t="s">
        <v>1398</v>
      </c>
      <c r="C128" s="141" t="str">
        <f>VLOOKUP($B128,'МССК-5 (Пом.)'!$A$2:$D$641,2)</f>
        <v>Специализированные помещения медицинских организаций</v>
      </c>
      <c r="D128" s="141" t="str">
        <f>VLOOKUP($B128,'МССК-5 (Пом.)'!$A$2:$D$641,3)</f>
        <v>Помещения медперсонала</v>
      </c>
      <c r="E128" s="141" t="str">
        <f t="shared" si="7"/>
        <v>Помещения медперсонала</v>
      </c>
      <c r="F128" s="141" t="str">
        <f t="shared" si="6"/>
        <v>Помещения медперсонала - ПЗ 33 30</v>
      </c>
      <c r="G128" s="22"/>
      <c r="H128"/>
    </row>
    <row r="129" spans="1:8" x14ac:dyDescent="0.25">
      <c r="A129" s="141" t="s">
        <v>70</v>
      </c>
      <c r="B129" s="142" t="s">
        <v>1414</v>
      </c>
      <c r="C129" s="141" t="str">
        <f>VLOOKUP($B129,'МССК-5 (Пом.)'!$A$2:$D$641,2)</f>
        <v>Специализированные помещения медицинских организаций</v>
      </c>
      <c r="D129" s="141" t="str">
        <f>VLOOKUP($B129,'МССК-5 (Пом.)'!$A$2:$D$641,3)</f>
        <v>Вспомогательные медицинские помещения</v>
      </c>
      <c r="E129" s="141" t="str">
        <f t="shared" si="7"/>
        <v>Вспомогательные медицинские помещения</v>
      </c>
      <c r="F129" s="141" t="str">
        <f t="shared" si="6"/>
        <v>Вспомогательные медицинские помещения - ПЗ 33 31</v>
      </c>
      <c r="G129" s="22"/>
      <c r="H129"/>
    </row>
    <row r="130" spans="1:8" x14ac:dyDescent="0.25">
      <c r="A130" s="141" t="s">
        <v>70</v>
      </c>
      <c r="B130" s="142" t="s">
        <v>1460</v>
      </c>
      <c r="C130" s="141" t="str">
        <f>VLOOKUP($B130,'МССК-5 (Пом.)'!$A$2:$D$641,2)</f>
        <v>Специализированные помещения медицинских организаций</v>
      </c>
      <c r="D130" s="141" t="str">
        <f>VLOOKUP($B130,'МССК-5 (Пом.)'!$A$2:$D$641,3)</f>
        <v>Специализированные помещения</v>
      </c>
      <c r="E130" s="141" t="str">
        <f t="shared" si="7"/>
        <v>Специализированные помещения</v>
      </c>
      <c r="F130" s="141" t="str">
        <f t="shared" si="6"/>
        <v>Специализированные помещения - ПЗ 33 32</v>
      </c>
      <c r="G130" s="22"/>
      <c r="H130"/>
    </row>
    <row r="131" spans="1:8" x14ac:dyDescent="0.25">
      <c r="A131" s="141" t="s">
        <v>70</v>
      </c>
      <c r="B131" s="142" t="s">
        <v>1490</v>
      </c>
      <c r="C131" s="141" t="str">
        <f>VLOOKUP($B131,'МССК-5 (Пом.)'!$A$2:$D$641,2)</f>
        <v>Специализированные помещения медицинских организаций</v>
      </c>
      <c r="D131" s="141" t="str">
        <f>VLOOKUP($B131,'МССК-5 (Пом.)'!$A$2:$D$641,3)</f>
        <v>Помещения лучевой диагностики</v>
      </c>
      <c r="E131" s="141" t="str">
        <f t="shared" si="7"/>
        <v>Помещения лучевой диагностики</v>
      </c>
      <c r="F131" s="141" t="str">
        <f t="shared" si="6"/>
        <v>Помещения лучевой диагностики - ПЗ 33 33</v>
      </c>
      <c r="G131" s="22"/>
      <c r="H131"/>
    </row>
    <row r="132" spans="1:8" x14ac:dyDescent="0.25">
      <c r="A132" s="141" t="s">
        <v>70</v>
      </c>
      <c r="B132" s="142" t="s">
        <v>1514</v>
      </c>
      <c r="C132" s="141" t="str">
        <f>VLOOKUP($B132,'МССК-5 (Пом.)'!$A$2:$D$641,2)</f>
        <v>Помещения производственного назначения</v>
      </c>
      <c r="D132" s="141" t="str">
        <f>VLOOKUP($B132,'МССК-5 (Пом.)'!$A$2:$D$641,3)</f>
        <v>Помещения производственного назначения</v>
      </c>
      <c r="E132" s="141" t="str">
        <f t="shared" si="7"/>
        <v>Помещения производственного назначения</v>
      </c>
      <c r="F132" s="141" t="str">
        <f t="shared" si="6"/>
        <v>Помещения производственного назначения - ПЗ 34 10</v>
      </c>
      <c r="G132" s="22"/>
      <c r="H132"/>
    </row>
    <row r="133" spans="1:8" x14ac:dyDescent="0.25">
      <c r="A133" s="141" t="s">
        <v>70</v>
      </c>
      <c r="B133" s="142" t="s">
        <v>1523</v>
      </c>
      <c r="C133" s="141" t="str">
        <f>VLOOKUP($B133,'МССК-5 (Пом.)'!$A$2:$D$641,2)</f>
        <v>Помещения производственного назначения</v>
      </c>
      <c r="D133" s="141" t="str">
        <f>VLOOKUP($B133,'МССК-5 (Пом.)'!$A$2:$D$641,3)</f>
        <v>Складские помещения</v>
      </c>
      <c r="E133" s="141" t="str">
        <f t="shared" si="7"/>
        <v>Складские помещения</v>
      </c>
      <c r="F133" s="141" t="str">
        <f t="shared" si="6"/>
        <v>Складские помещения - ПЗ 34 12</v>
      </c>
      <c r="G133" s="153"/>
      <c r="H133"/>
    </row>
    <row r="134" spans="1:8" x14ac:dyDescent="0.25">
      <c r="E134"/>
      <c r="F134"/>
      <c r="H134"/>
    </row>
    <row r="138" spans="1:8" x14ac:dyDescent="0.25">
      <c r="E138"/>
      <c r="F138"/>
    </row>
    <row r="139" spans="1:8" x14ac:dyDescent="0.25">
      <c r="E139"/>
      <c r="F139"/>
    </row>
    <row r="140" spans="1:8" x14ac:dyDescent="0.25">
      <c r="E140"/>
      <c r="F140"/>
    </row>
    <row r="141" spans="1:8" x14ac:dyDescent="0.25">
      <c r="E141"/>
      <c r="F141"/>
    </row>
    <row r="142" spans="1:8" x14ac:dyDescent="0.25">
      <c r="E142"/>
      <c r="F142"/>
    </row>
    <row r="143" spans="1:8" x14ac:dyDescent="0.25">
      <c r="E143"/>
      <c r="F143"/>
    </row>
    <row r="144" spans="1:8" x14ac:dyDescent="0.25">
      <c r="E144"/>
      <c r="F144"/>
    </row>
    <row r="145" spans="5:6" x14ac:dyDescent="0.25">
      <c r="E145"/>
      <c r="F145"/>
    </row>
    <row r="146" spans="5:6" x14ac:dyDescent="0.25">
      <c r="E146"/>
      <c r="F146"/>
    </row>
    <row r="147" spans="5:6" x14ac:dyDescent="0.25">
      <c r="E147"/>
      <c r="F147"/>
    </row>
    <row r="148" spans="5:6" x14ac:dyDescent="0.25">
      <c r="E148"/>
      <c r="F148"/>
    </row>
    <row r="149" spans="5:6" x14ac:dyDescent="0.25">
      <c r="E149"/>
      <c r="F149"/>
    </row>
    <row r="150" spans="5:6" x14ac:dyDescent="0.25">
      <c r="E150"/>
      <c r="F150"/>
    </row>
    <row r="151" spans="5:6" x14ac:dyDescent="0.25">
      <c r="E151"/>
      <c r="F151"/>
    </row>
    <row r="152" spans="5:6" x14ac:dyDescent="0.25">
      <c r="E152"/>
      <c r="F152"/>
    </row>
    <row r="153" spans="5:6" x14ac:dyDescent="0.25">
      <c r="E153"/>
      <c r="F153"/>
    </row>
    <row r="154" spans="5:6" x14ac:dyDescent="0.25">
      <c r="E154"/>
      <c r="F154"/>
    </row>
    <row r="155" spans="5:6" x14ac:dyDescent="0.25">
      <c r="E155"/>
      <c r="F155"/>
    </row>
    <row r="156" spans="5:6" x14ac:dyDescent="0.25">
      <c r="E156"/>
      <c r="F156"/>
    </row>
    <row r="157" spans="5:6" x14ac:dyDescent="0.25">
      <c r="E157"/>
      <c r="F157"/>
    </row>
    <row r="158" spans="5:6" x14ac:dyDescent="0.25">
      <c r="E158"/>
      <c r="F158"/>
    </row>
    <row r="159" spans="5:6" x14ac:dyDescent="0.25">
      <c r="E159"/>
      <c r="F159"/>
    </row>
    <row r="160" spans="5:6" x14ac:dyDescent="0.25">
      <c r="E160"/>
      <c r="F160"/>
    </row>
    <row r="161" spans="5:6" x14ac:dyDescent="0.25">
      <c r="E161"/>
      <c r="F161"/>
    </row>
    <row r="162" spans="5:6" x14ac:dyDescent="0.25">
      <c r="E162"/>
      <c r="F162"/>
    </row>
    <row r="163" spans="5:6" x14ac:dyDescent="0.25">
      <c r="E163"/>
      <c r="F163"/>
    </row>
    <row r="164" spans="5:6" x14ac:dyDescent="0.25">
      <c r="E164"/>
      <c r="F164"/>
    </row>
    <row r="165" spans="5:6" x14ac:dyDescent="0.25">
      <c r="E165"/>
      <c r="F165"/>
    </row>
    <row r="166" spans="5:6" x14ac:dyDescent="0.25">
      <c r="E166"/>
      <c r="F166"/>
    </row>
    <row r="167" spans="5:6" x14ac:dyDescent="0.25">
      <c r="E167"/>
      <c r="F167"/>
    </row>
    <row r="168" spans="5:6" x14ac:dyDescent="0.25">
      <c r="E168"/>
      <c r="F168"/>
    </row>
    <row r="169" spans="5:6" x14ac:dyDescent="0.25">
      <c r="E169"/>
      <c r="F169"/>
    </row>
    <row r="170" spans="5:6" x14ac:dyDescent="0.25">
      <c r="E170"/>
      <c r="F170"/>
    </row>
    <row r="171" spans="5:6" x14ac:dyDescent="0.25">
      <c r="E171"/>
      <c r="F171"/>
    </row>
    <row r="172" spans="5:6" x14ac:dyDescent="0.25">
      <c r="E172"/>
      <c r="F172"/>
    </row>
    <row r="173" spans="5:6" x14ac:dyDescent="0.25">
      <c r="E173"/>
      <c r="F173"/>
    </row>
    <row r="174" spans="5:6" x14ac:dyDescent="0.25">
      <c r="E174"/>
      <c r="F174"/>
    </row>
    <row r="175" spans="5:6" x14ac:dyDescent="0.25">
      <c r="E175"/>
      <c r="F175"/>
    </row>
    <row r="176" spans="5:6" x14ac:dyDescent="0.25">
      <c r="E176"/>
      <c r="F176"/>
    </row>
    <row r="177" spans="5:6" x14ac:dyDescent="0.25">
      <c r="E177"/>
      <c r="F177"/>
    </row>
    <row r="178" spans="5:6" x14ac:dyDescent="0.25">
      <c r="E178"/>
      <c r="F178"/>
    </row>
    <row r="179" spans="5:6" x14ac:dyDescent="0.25">
      <c r="E179"/>
      <c r="F179"/>
    </row>
    <row r="180" spans="5:6" x14ac:dyDescent="0.25">
      <c r="E180"/>
      <c r="F180"/>
    </row>
    <row r="181" spans="5:6" x14ac:dyDescent="0.25">
      <c r="E181"/>
      <c r="F181"/>
    </row>
    <row r="182" spans="5:6" x14ac:dyDescent="0.25">
      <c r="E182"/>
      <c r="F182"/>
    </row>
    <row r="183" spans="5:6" x14ac:dyDescent="0.25">
      <c r="E183"/>
      <c r="F183"/>
    </row>
    <row r="184" spans="5:6" x14ac:dyDescent="0.25">
      <c r="E184"/>
      <c r="F184"/>
    </row>
    <row r="185" spans="5:6" x14ac:dyDescent="0.25">
      <c r="E185"/>
      <c r="F185"/>
    </row>
    <row r="186" spans="5:6" x14ac:dyDescent="0.25">
      <c r="E186"/>
      <c r="F186"/>
    </row>
    <row r="187" spans="5:6" x14ac:dyDescent="0.25">
      <c r="E187"/>
      <c r="F187"/>
    </row>
    <row r="188" spans="5:6" x14ac:dyDescent="0.25">
      <c r="E188"/>
      <c r="F188"/>
    </row>
    <row r="189" spans="5:6" x14ac:dyDescent="0.25">
      <c r="E189"/>
      <c r="F189"/>
    </row>
    <row r="190" spans="5:6" x14ac:dyDescent="0.25">
      <c r="E190"/>
      <c r="F190"/>
    </row>
    <row r="191" spans="5:6" x14ac:dyDescent="0.25">
      <c r="E191"/>
      <c r="F191"/>
    </row>
    <row r="192" spans="5:6" x14ac:dyDescent="0.25">
      <c r="E192"/>
      <c r="F192"/>
    </row>
    <row r="193" spans="5:6" x14ac:dyDescent="0.25">
      <c r="E193"/>
      <c r="F193"/>
    </row>
    <row r="194" spans="5:6" x14ac:dyDescent="0.25">
      <c r="E194"/>
      <c r="F194"/>
    </row>
    <row r="195" spans="5:6" x14ac:dyDescent="0.25">
      <c r="E195"/>
      <c r="F195"/>
    </row>
    <row r="196" spans="5:6" x14ac:dyDescent="0.25">
      <c r="E196"/>
      <c r="F196"/>
    </row>
    <row r="197" spans="5:6" x14ac:dyDescent="0.25">
      <c r="E197"/>
      <c r="F197"/>
    </row>
    <row r="198" spans="5:6" x14ac:dyDescent="0.25">
      <c r="E198"/>
      <c r="F198"/>
    </row>
    <row r="199" spans="5:6" x14ac:dyDescent="0.25">
      <c r="E199"/>
      <c r="F199"/>
    </row>
    <row r="200" spans="5:6" x14ac:dyDescent="0.25">
      <c r="E200"/>
      <c r="F200"/>
    </row>
    <row r="201" spans="5:6" x14ac:dyDescent="0.25">
      <c r="E201"/>
      <c r="F201"/>
    </row>
    <row r="202" spans="5:6" x14ac:dyDescent="0.25">
      <c r="E202"/>
      <c r="F202"/>
    </row>
    <row r="203" spans="5:6" x14ac:dyDescent="0.25">
      <c r="E203"/>
      <c r="F203"/>
    </row>
    <row r="204" spans="5:6" x14ac:dyDescent="0.25">
      <c r="E204"/>
      <c r="F204"/>
    </row>
    <row r="205" spans="5:6" x14ac:dyDescent="0.25">
      <c r="E205"/>
      <c r="F205"/>
    </row>
    <row r="206" spans="5:6" x14ac:dyDescent="0.25">
      <c r="E206"/>
      <c r="F206"/>
    </row>
    <row r="207" spans="5:6" x14ac:dyDescent="0.25">
      <c r="E207"/>
      <c r="F207"/>
    </row>
    <row r="208" spans="5:6" x14ac:dyDescent="0.25">
      <c r="E208"/>
      <c r="F208"/>
    </row>
    <row r="209" spans="5:6" x14ac:dyDescent="0.25">
      <c r="E209"/>
      <c r="F209"/>
    </row>
    <row r="210" spans="5:6" x14ac:dyDescent="0.25">
      <c r="E210"/>
      <c r="F210"/>
    </row>
    <row r="211" spans="5:6" x14ac:dyDescent="0.25">
      <c r="E211"/>
      <c r="F211"/>
    </row>
    <row r="212" spans="5:6" x14ac:dyDescent="0.25">
      <c r="E212"/>
      <c r="F212"/>
    </row>
    <row r="213" spans="5:6" x14ac:dyDescent="0.25">
      <c r="E213"/>
      <c r="F213"/>
    </row>
    <row r="214" spans="5:6" x14ac:dyDescent="0.25">
      <c r="E214"/>
      <c r="F214"/>
    </row>
    <row r="215" spans="5:6" x14ac:dyDescent="0.25">
      <c r="E215"/>
      <c r="F215"/>
    </row>
    <row r="216" spans="5:6" x14ac:dyDescent="0.25">
      <c r="E216"/>
      <c r="F216"/>
    </row>
    <row r="217" spans="5:6" x14ac:dyDescent="0.25">
      <c r="E217"/>
      <c r="F217"/>
    </row>
    <row r="218" spans="5:6" x14ac:dyDescent="0.25">
      <c r="E218"/>
      <c r="F218"/>
    </row>
    <row r="219" spans="5:6" x14ac:dyDescent="0.25">
      <c r="E219"/>
      <c r="F219"/>
    </row>
    <row r="220" spans="5:6" x14ac:dyDescent="0.25">
      <c r="E220"/>
      <c r="F220"/>
    </row>
    <row r="221" spans="5:6" x14ac:dyDescent="0.25">
      <c r="E221"/>
      <c r="F221"/>
    </row>
    <row r="222" spans="5:6" x14ac:dyDescent="0.25">
      <c r="E222"/>
      <c r="F222"/>
    </row>
    <row r="223" spans="5:6" x14ac:dyDescent="0.25">
      <c r="E223"/>
      <c r="F223"/>
    </row>
    <row r="224" spans="5:6" x14ac:dyDescent="0.25">
      <c r="E224"/>
      <c r="F224"/>
    </row>
    <row r="225" spans="5:6" x14ac:dyDescent="0.25">
      <c r="E225"/>
      <c r="F225"/>
    </row>
    <row r="226" spans="5:6" x14ac:dyDescent="0.25">
      <c r="E226"/>
      <c r="F226"/>
    </row>
    <row r="227" spans="5:6" x14ac:dyDescent="0.25">
      <c r="E227"/>
      <c r="F227"/>
    </row>
    <row r="228" spans="5:6" x14ac:dyDescent="0.25">
      <c r="E228"/>
      <c r="F228"/>
    </row>
    <row r="229" spans="5:6" x14ac:dyDescent="0.25">
      <c r="E229"/>
      <c r="F229"/>
    </row>
    <row r="230" spans="5:6" x14ac:dyDescent="0.25">
      <c r="E230"/>
      <c r="F230"/>
    </row>
    <row r="231" spans="5:6" x14ac:dyDescent="0.25">
      <c r="E231"/>
      <c r="F231"/>
    </row>
    <row r="232" spans="5:6" x14ac:dyDescent="0.25">
      <c r="E232"/>
      <c r="F232"/>
    </row>
    <row r="233" spans="5:6" x14ac:dyDescent="0.25">
      <c r="E233"/>
      <c r="F233"/>
    </row>
    <row r="234" spans="5:6" x14ac:dyDescent="0.25">
      <c r="E234"/>
      <c r="F234"/>
    </row>
    <row r="235" spans="5:6" x14ac:dyDescent="0.25">
      <c r="E235"/>
      <c r="F235"/>
    </row>
    <row r="236" spans="5:6" x14ac:dyDescent="0.25">
      <c r="E236"/>
      <c r="F236"/>
    </row>
    <row r="237" spans="5:6" x14ac:dyDescent="0.25">
      <c r="E237"/>
      <c r="F237"/>
    </row>
    <row r="238" spans="5:6" x14ac:dyDescent="0.25">
      <c r="E238"/>
      <c r="F238"/>
    </row>
    <row r="239" spans="5:6" x14ac:dyDescent="0.25">
      <c r="E239"/>
      <c r="F239"/>
    </row>
    <row r="240" spans="5:6" x14ac:dyDescent="0.25">
      <c r="E240"/>
      <c r="F240"/>
    </row>
    <row r="241" spans="5:6" x14ac:dyDescent="0.25">
      <c r="E241"/>
      <c r="F241"/>
    </row>
    <row r="242" spans="5:6" x14ac:dyDescent="0.25">
      <c r="E242"/>
      <c r="F242"/>
    </row>
    <row r="243" spans="5:6" x14ac:dyDescent="0.25">
      <c r="E243"/>
      <c r="F243"/>
    </row>
    <row r="244" spans="5:6" x14ac:dyDescent="0.25">
      <c r="E244"/>
      <c r="F244"/>
    </row>
    <row r="245" spans="5:6" x14ac:dyDescent="0.25">
      <c r="E245"/>
      <c r="F245"/>
    </row>
    <row r="246" spans="5:6" x14ac:dyDescent="0.25">
      <c r="E246"/>
      <c r="F246"/>
    </row>
    <row r="247" spans="5:6" x14ac:dyDescent="0.25">
      <c r="E247"/>
      <c r="F247"/>
    </row>
    <row r="248" spans="5:6" x14ac:dyDescent="0.25">
      <c r="E248"/>
      <c r="F248"/>
    </row>
    <row r="249" spans="5:6" x14ac:dyDescent="0.25">
      <c r="E249"/>
      <c r="F249"/>
    </row>
    <row r="250" spans="5:6" x14ac:dyDescent="0.25">
      <c r="E250"/>
      <c r="F250"/>
    </row>
    <row r="251" spans="5:6" x14ac:dyDescent="0.25">
      <c r="E251"/>
      <c r="F251"/>
    </row>
    <row r="252" spans="5:6" x14ac:dyDescent="0.25">
      <c r="E252"/>
      <c r="F252"/>
    </row>
    <row r="253" spans="5:6" x14ac:dyDescent="0.25">
      <c r="E253"/>
      <c r="F253"/>
    </row>
    <row r="254" spans="5:6" x14ac:dyDescent="0.25">
      <c r="E254"/>
      <c r="F254"/>
    </row>
    <row r="255" spans="5:6" x14ac:dyDescent="0.25">
      <c r="E255"/>
      <c r="F255"/>
    </row>
    <row r="256" spans="5:6" x14ac:dyDescent="0.25">
      <c r="E256"/>
      <c r="F256"/>
    </row>
    <row r="257" spans="5:6" x14ac:dyDescent="0.25">
      <c r="E257"/>
      <c r="F257"/>
    </row>
    <row r="258" spans="5:6" x14ac:dyDescent="0.25">
      <c r="E258"/>
      <c r="F258"/>
    </row>
    <row r="259" spans="5:6" x14ac:dyDescent="0.25">
      <c r="E259"/>
      <c r="F259"/>
    </row>
    <row r="260" spans="5:6" x14ac:dyDescent="0.25">
      <c r="E260"/>
      <c r="F260"/>
    </row>
    <row r="261" spans="5:6" x14ac:dyDescent="0.25">
      <c r="E261"/>
      <c r="F261"/>
    </row>
    <row r="262" spans="5:6" x14ac:dyDescent="0.25">
      <c r="E262"/>
      <c r="F262"/>
    </row>
    <row r="263" spans="5:6" x14ac:dyDescent="0.25">
      <c r="E263"/>
      <c r="F263"/>
    </row>
    <row r="264" spans="5:6" x14ac:dyDescent="0.25">
      <c r="E264"/>
      <c r="F264"/>
    </row>
    <row r="265" spans="5:6" x14ac:dyDescent="0.25">
      <c r="E265"/>
      <c r="F265"/>
    </row>
    <row r="266" spans="5:6" x14ac:dyDescent="0.25">
      <c r="E266"/>
      <c r="F266"/>
    </row>
    <row r="267" spans="5:6" x14ac:dyDescent="0.25">
      <c r="E267"/>
      <c r="F267"/>
    </row>
    <row r="268" spans="5:6" x14ac:dyDescent="0.25">
      <c r="E268"/>
      <c r="F268"/>
    </row>
    <row r="269" spans="5:6" x14ac:dyDescent="0.25">
      <c r="E269"/>
      <c r="F269"/>
    </row>
    <row r="270" spans="5:6" x14ac:dyDescent="0.25">
      <c r="E270"/>
      <c r="F270"/>
    </row>
    <row r="271" spans="5:6" x14ac:dyDescent="0.25">
      <c r="E271"/>
      <c r="F271"/>
    </row>
    <row r="272" spans="5:6" x14ac:dyDescent="0.25">
      <c r="E272"/>
      <c r="F272"/>
    </row>
    <row r="273" spans="5:6" x14ac:dyDescent="0.25">
      <c r="E273"/>
      <c r="F273"/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9224-27B2-4394-9F05-9E802D179BB4}">
  <dimension ref="A1:E641"/>
  <sheetViews>
    <sheetView zoomScale="85" zoomScaleNormal="85" workbookViewId="0">
      <pane ySplit="2" topLeftCell="A243" activePane="bottomLeft" state="frozen"/>
      <selection activeCell="B319" sqref="B319"/>
      <selection pane="bottomLeft" activeCell="D80" sqref="D80"/>
    </sheetView>
  </sheetViews>
  <sheetFormatPr defaultRowHeight="12.75" x14ac:dyDescent="0.25"/>
  <cols>
    <col min="1" max="1" width="12" style="59" customWidth="1"/>
    <col min="2" max="2" width="66.85546875" style="59" bestFit="1" customWidth="1"/>
    <col min="3" max="3" width="71" style="59" bestFit="1" customWidth="1"/>
    <col min="4" max="4" width="92.28515625" style="59" bestFit="1" customWidth="1"/>
    <col min="5" max="5" width="10.85546875" style="59" customWidth="1"/>
    <col min="6" max="16384" width="9.140625" style="59"/>
  </cols>
  <sheetData>
    <row r="1" spans="1:5" x14ac:dyDescent="0.25">
      <c r="A1" s="57" t="s">
        <v>286</v>
      </c>
      <c r="B1" s="58"/>
      <c r="C1" s="58"/>
      <c r="D1" s="58"/>
    </row>
    <row r="2" spans="1:5" x14ac:dyDescent="0.25">
      <c r="A2" s="60" t="s">
        <v>287</v>
      </c>
      <c r="B2" s="61" t="s">
        <v>288</v>
      </c>
      <c r="C2" s="60" t="s">
        <v>289</v>
      </c>
      <c r="D2" s="60" t="s">
        <v>71</v>
      </c>
      <c r="E2" s="62"/>
    </row>
    <row r="3" spans="1:5" x14ac:dyDescent="0.2">
      <c r="A3" s="63" t="s">
        <v>290</v>
      </c>
      <c r="B3" s="64" t="s">
        <v>291</v>
      </c>
      <c r="C3" s="64"/>
      <c r="D3" s="64"/>
      <c r="E3" s="65"/>
    </row>
    <row r="4" spans="1:5" x14ac:dyDescent="0.2">
      <c r="A4" s="63" t="s">
        <v>292</v>
      </c>
      <c r="B4" s="64" t="s">
        <v>293</v>
      </c>
      <c r="C4" s="64"/>
      <c r="D4" s="64"/>
      <c r="E4" s="65"/>
    </row>
    <row r="5" spans="1:5" x14ac:dyDescent="0.2">
      <c r="A5" s="63" t="s">
        <v>106</v>
      </c>
      <c r="B5" s="64" t="s">
        <v>107</v>
      </c>
      <c r="C5" s="64"/>
      <c r="D5" s="64"/>
      <c r="E5" s="65"/>
    </row>
    <row r="6" spans="1:5" x14ac:dyDescent="0.2">
      <c r="A6" s="66" t="s">
        <v>294</v>
      </c>
      <c r="B6" s="64" t="s">
        <v>107</v>
      </c>
      <c r="C6" s="67" t="s">
        <v>295</v>
      </c>
      <c r="D6" s="67"/>
      <c r="E6" s="65"/>
    </row>
    <row r="7" spans="1:5" x14ac:dyDescent="0.2">
      <c r="A7" s="68" t="s">
        <v>296</v>
      </c>
      <c r="B7" s="64" t="s">
        <v>107</v>
      </c>
      <c r="C7" s="67" t="s">
        <v>295</v>
      </c>
      <c r="D7" s="69" t="s">
        <v>297</v>
      </c>
      <c r="E7" s="65"/>
    </row>
    <row r="8" spans="1:5" x14ac:dyDescent="0.2">
      <c r="A8" s="68" t="s">
        <v>298</v>
      </c>
      <c r="B8" s="64" t="s">
        <v>107</v>
      </c>
      <c r="C8" s="67" t="s">
        <v>295</v>
      </c>
      <c r="D8" s="69" t="s">
        <v>299</v>
      </c>
      <c r="E8" s="65"/>
    </row>
    <row r="9" spans="1:5" x14ac:dyDescent="0.2">
      <c r="A9" s="63" t="s">
        <v>300</v>
      </c>
      <c r="B9" s="64" t="s">
        <v>301</v>
      </c>
      <c r="C9" s="64"/>
      <c r="D9" s="64"/>
      <c r="E9" s="65"/>
    </row>
    <row r="10" spans="1:5" x14ac:dyDescent="0.2">
      <c r="A10" s="63" t="s">
        <v>302</v>
      </c>
      <c r="B10" s="64" t="s">
        <v>303</v>
      </c>
      <c r="C10" s="64"/>
      <c r="D10" s="64"/>
      <c r="E10" s="65"/>
    </row>
    <row r="11" spans="1:5" x14ac:dyDescent="0.2">
      <c r="A11" s="63" t="s">
        <v>304</v>
      </c>
      <c r="B11" s="64" t="s">
        <v>305</v>
      </c>
      <c r="C11" s="64"/>
      <c r="D11" s="64"/>
      <c r="E11" s="65"/>
    </row>
    <row r="12" spans="1:5" x14ac:dyDescent="0.2">
      <c r="A12" s="63" t="s">
        <v>306</v>
      </c>
      <c r="B12" s="64" t="s">
        <v>307</v>
      </c>
      <c r="C12" s="64"/>
      <c r="D12" s="64"/>
      <c r="E12" s="65"/>
    </row>
    <row r="13" spans="1:5" x14ac:dyDescent="0.2">
      <c r="A13" s="63" t="s">
        <v>308</v>
      </c>
      <c r="B13" s="64" t="s">
        <v>85</v>
      </c>
      <c r="C13" s="64"/>
      <c r="D13" s="64"/>
      <c r="E13" s="65"/>
    </row>
    <row r="14" spans="1:5" x14ac:dyDescent="0.2">
      <c r="A14" s="63" t="s">
        <v>309</v>
      </c>
      <c r="B14" s="64" t="s">
        <v>310</v>
      </c>
      <c r="C14" s="64"/>
      <c r="D14" s="64"/>
      <c r="E14" s="65"/>
    </row>
    <row r="15" spans="1:5" x14ac:dyDescent="0.2">
      <c r="A15" s="63" t="s">
        <v>311</v>
      </c>
      <c r="B15" s="64" t="s">
        <v>312</v>
      </c>
      <c r="C15" s="64"/>
      <c r="D15" s="64"/>
      <c r="E15" s="65"/>
    </row>
    <row r="16" spans="1:5" x14ac:dyDescent="0.2">
      <c r="A16" s="66" t="s">
        <v>313</v>
      </c>
      <c r="B16" s="64" t="s">
        <v>312</v>
      </c>
      <c r="C16" s="67" t="s">
        <v>314</v>
      </c>
      <c r="D16" s="67"/>
      <c r="E16" s="65"/>
    </row>
    <row r="17" spans="1:5" x14ac:dyDescent="0.2">
      <c r="A17" s="68" t="s">
        <v>315</v>
      </c>
      <c r="B17" s="64" t="s">
        <v>312</v>
      </c>
      <c r="C17" s="67" t="s">
        <v>314</v>
      </c>
      <c r="D17" s="69" t="s">
        <v>316</v>
      </c>
      <c r="E17" s="65"/>
    </row>
    <row r="18" spans="1:5" x14ac:dyDescent="0.2">
      <c r="A18" s="63" t="s">
        <v>317</v>
      </c>
      <c r="B18" s="64" t="s">
        <v>318</v>
      </c>
      <c r="C18" s="64"/>
      <c r="D18" s="64"/>
      <c r="E18" s="65"/>
    </row>
    <row r="19" spans="1:5" x14ac:dyDescent="0.2">
      <c r="A19" s="66" t="s">
        <v>319</v>
      </c>
      <c r="B19" s="64" t="s">
        <v>318</v>
      </c>
      <c r="C19" s="67" t="s">
        <v>320</v>
      </c>
      <c r="D19" s="67"/>
      <c r="E19" s="65"/>
    </row>
    <row r="20" spans="1:5" x14ac:dyDescent="0.2">
      <c r="A20" s="68" t="s">
        <v>321</v>
      </c>
      <c r="B20" s="64" t="s">
        <v>318</v>
      </c>
      <c r="C20" s="67" t="s">
        <v>320</v>
      </c>
      <c r="D20" s="69" t="s">
        <v>322</v>
      </c>
      <c r="E20" s="65"/>
    </row>
    <row r="21" spans="1:5" x14ac:dyDescent="0.2">
      <c r="A21" s="63" t="s">
        <v>323</v>
      </c>
      <c r="B21" s="64" t="s">
        <v>324</v>
      </c>
      <c r="C21" s="64"/>
      <c r="D21" s="64"/>
      <c r="E21" s="65"/>
    </row>
    <row r="22" spans="1:5" x14ac:dyDescent="0.2">
      <c r="A22" s="63" t="s">
        <v>325</v>
      </c>
      <c r="B22" s="64" t="s">
        <v>326</v>
      </c>
      <c r="C22" s="64"/>
      <c r="D22" s="64"/>
      <c r="E22" s="65"/>
    </row>
    <row r="23" spans="1:5" x14ac:dyDescent="0.2">
      <c r="A23" s="63" t="s">
        <v>327</v>
      </c>
      <c r="B23" s="64" t="s">
        <v>328</v>
      </c>
      <c r="C23" s="64"/>
      <c r="D23" s="64"/>
      <c r="E23" s="65"/>
    </row>
    <row r="24" spans="1:5" x14ac:dyDescent="0.2">
      <c r="A24" s="68" t="s">
        <v>329</v>
      </c>
      <c r="B24" s="64" t="s">
        <v>328</v>
      </c>
      <c r="C24" s="67" t="s">
        <v>330</v>
      </c>
      <c r="D24" s="70"/>
      <c r="E24" s="65"/>
    </row>
    <row r="25" spans="1:5" x14ac:dyDescent="0.2">
      <c r="A25" s="68" t="s">
        <v>331</v>
      </c>
      <c r="B25" s="64" t="s">
        <v>328</v>
      </c>
      <c r="C25" s="67" t="s">
        <v>332</v>
      </c>
      <c r="D25" s="70"/>
      <c r="E25" s="65"/>
    </row>
    <row r="26" spans="1:5" x14ac:dyDescent="0.25">
      <c r="A26" s="68" t="s">
        <v>333</v>
      </c>
      <c r="B26" s="64" t="s">
        <v>328</v>
      </c>
      <c r="C26" s="67" t="s">
        <v>334</v>
      </c>
      <c r="D26" s="71"/>
      <c r="E26" s="72"/>
    </row>
    <row r="27" spans="1:5" x14ac:dyDescent="0.2">
      <c r="A27" s="68" t="s">
        <v>335</v>
      </c>
      <c r="B27" s="64" t="s">
        <v>328</v>
      </c>
      <c r="C27" s="67" t="s">
        <v>336</v>
      </c>
      <c r="D27" s="70"/>
      <c r="E27" s="65"/>
    </row>
    <row r="28" spans="1:5" x14ac:dyDescent="0.2">
      <c r="A28" s="68" t="s">
        <v>337</v>
      </c>
      <c r="B28" s="64" t="s">
        <v>328</v>
      </c>
      <c r="C28" s="67" t="s">
        <v>338</v>
      </c>
      <c r="D28" s="70"/>
      <c r="E28" s="65"/>
    </row>
    <row r="29" spans="1:5" x14ac:dyDescent="0.2">
      <c r="A29" s="68" t="s">
        <v>339</v>
      </c>
      <c r="B29" s="64" t="s">
        <v>328</v>
      </c>
      <c r="C29" s="67" t="s">
        <v>340</v>
      </c>
      <c r="D29" s="70"/>
      <c r="E29" s="65"/>
    </row>
    <row r="30" spans="1:5" x14ac:dyDescent="0.2">
      <c r="A30" s="68" t="s">
        <v>341</v>
      </c>
      <c r="B30" s="64" t="s">
        <v>328</v>
      </c>
      <c r="C30" s="67" t="s">
        <v>342</v>
      </c>
      <c r="D30" s="70"/>
      <c r="E30" s="65"/>
    </row>
    <row r="31" spans="1:5" x14ac:dyDescent="0.2">
      <c r="A31" s="68" t="s">
        <v>343</v>
      </c>
      <c r="B31" s="64" t="s">
        <v>328</v>
      </c>
      <c r="C31" s="67" t="s">
        <v>344</v>
      </c>
      <c r="D31" s="70"/>
    </row>
    <row r="32" spans="1:5" x14ac:dyDescent="0.2">
      <c r="A32" s="68" t="s">
        <v>345</v>
      </c>
      <c r="B32" s="64" t="s">
        <v>328</v>
      </c>
      <c r="C32" s="67" t="s">
        <v>346</v>
      </c>
      <c r="D32" s="70"/>
    </row>
    <row r="33" spans="1:4" x14ac:dyDescent="0.25">
      <c r="A33" s="63" t="s">
        <v>347</v>
      </c>
      <c r="B33" s="64" t="s">
        <v>348</v>
      </c>
      <c r="C33" s="64"/>
      <c r="D33" s="64"/>
    </row>
    <row r="34" spans="1:4" x14ac:dyDescent="0.25">
      <c r="A34" s="63" t="s">
        <v>349</v>
      </c>
      <c r="B34" s="64" t="s">
        <v>350</v>
      </c>
      <c r="C34" s="64"/>
      <c r="D34" s="64"/>
    </row>
    <row r="35" spans="1:4" x14ac:dyDescent="0.25">
      <c r="A35" s="63" t="s">
        <v>351</v>
      </c>
      <c r="B35" s="64" t="s">
        <v>352</v>
      </c>
      <c r="C35" s="64"/>
      <c r="D35" s="64"/>
    </row>
    <row r="36" spans="1:4" x14ac:dyDescent="0.2">
      <c r="A36" s="68" t="s">
        <v>353</v>
      </c>
      <c r="B36" s="64" t="s">
        <v>352</v>
      </c>
      <c r="C36" s="67" t="s">
        <v>354</v>
      </c>
      <c r="D36" s="70"/>
    </row>
    <row r="37" spans="1:4" x14ac:dyDescent="0.25">
      <c r="A37" s="63" t="s">
        <v>355</v>
      </c>
      <c r="B37" s="64" t="s">
        <v>356</v>
      </c>
      <c r="C37" s="64"/>
      <c r="D37" s="64"/>
    </row>
    <row r="38" spans="1:4" x14ac:dyDescent="0.25">
      <c r="A38" s="63" t="s">
        <v>357</v>
      </c>
      <c r="B38" s="64" t="s">
        <v>358</v>
      </c>
      <c r="C38" s="64"/>
      <c r="D38" s="64"/>
    </row>
    <row r="39" spans="1:4" x14ac:dyDescent="0.2">
      <c r="A39" s="68" t="s">
        <v>359</v>
      </c>
      <c r="B39" s="64" t="s">
        <v>358</v>
      </c>
      <c r="C39" s="67" t="s">
        <v>360</v>
      </c>
      <c r="D39" s="70"/>
    </row>
    <row r="40" spans="1:4" x14ac:dyDescent="0.2">
      <c r="A40" s="68" t="s">
        <v>361</v>
      </c>
      <c r="B40" s="64" t="s">
        <v>358</v>
      </c>
      <c r="C40" s="67" t="s">
        <v>362</v>
      </c>
      <c r="D40" s="70"/>
    </row>
    <row r="41" spans="1:4" x14ac:dyDescent="0.2">
      <c r="A41" s="68" t="s">
        <v>363</v>
      </c>
      <c r="B41" s="64" t="s">
        <v>358</v>
      </c>
      <c r="C41" s="67" t="s">
        <v>364</v>
      </c>
      <c r="D41" s="70"/>
    </row>
    <row r="42" spans="1:4" x14ac:dyDescent="0.25">
      <c r="A42" s="63" t="s">
        <v>365</v>
      </c>
      <c r="B42" s="64" t="s">
        <v>366</v>
      </c>
      <c r="C42" s="64"/>
      <c r="D42" s="64"/>
    </row>
    <row r="43" spans="1:4" x14ac:dyDescent="0.25">
      <c r="A43" s="63" t="s">
        <v>367</v>
      </c>
      <c r="B43" s="64" t="s">
        <v>368</v>
      </c>
      <c r="C43" s="64"/>
      <c r="D43" s="64"/>
    </row>
    <row r="44" spans="1:4" x14ac:dyDescent="0.2">
      <c r="A44" s="68" t="s">
        <v>369</v>
      </c>
      <c r="B44" s="64" t="s">
        <v>368</v>
      </c>
      <c r="C44" s="67" t="s">
        <v>370</v>
      </c>
      <c r="D44" s="70"/>
    </row>
    <row r="45" spans="1:4" x14ac:dyDescent="0.2">
      <c r="A45" s="68" t="s">
        <v>371</v>
      </c>
      <c r="B45" s="64" t="s">
        <v>368</v>
      </c>
      <c r="C45" s="67" t="s">
        <v>372</v>
      </c>
      <c r="D45" s="70"/>
    </row>
    <row r="46" spans="1:4" x14ac:dyDescent="0.2">
      <c r="A46" s="68" t="s">
        <v>373</v>
      </c>
      <c r="B46" s="64" t="s">
        <v>368</v>
      </c>
      <c r="C46" s="67" t="s">
        <v>374</v>
      </c>
      <c r="D46" s="70"/>
    </row>
    <row r="47" spans="1:4" x14ac:dyDescent="0.25">
      <c r="A47" s="63" t="s">
        <v>375</v>
      </c>
      <c r="B47" s="64" t="s">
        <v>376</v>
      </c>
      <c r="C47" s="64"/>
      <c r="D47" s="64"/>
    </row>
    <row r="48" spans="1:4" x14ac:dyDescent="0.2">
      <c r="A48" s="68" t="s">
        <v>377</v>
      </c>
      <c r="B48" s="64" t="s">
        <v>376</v>
      </c>
      <c r="C48" s="67" t="s">
        <v>378</v>
      </c>
      <c r="D48" s="70"/>
    </row>
    <row r="49" spans="1:4" x14ac:dyDescent="0.2">
      <c r="A49" s="68" t="s">
        <v>379</v>
      </c>
      <c r="B49" s="64" t="s">
        <v>376</v>
      </c>
      <c r="C49" s="67" t="s">
        <v>380</v>
      </c>
      <c r="D49" s="70"/>
    </row>
    <row r="50" spans="1:4" x14ac:dyDescent="0.2">
      <c r="A50" s="68" t="s">
        <v>381</v>
      </c>
      <c r="B50" s="64" t="s">
        <v>376</v>
      </c>
      <c r="C50" s="67" t="s">
        <v>382</v>
      </c>
      <c r="D50" s="70"/>
    </row>
    <row r="51" spans="1:4" x14ac:dyDescent="0.2">
      <c r="A51" s="68" t="s">
        <v>383</v>
      </c>
      <c r="B51" s="64" t="s">
        <v>376</v>
      </c>
      <c r="C51" s="67" t="s">
        <v>384</v>
      </c>
      <c r="D51" s="70"/>
    </row>
    <row r="52" spans="1:4" x14ac:dyDescent="0.25">
      <c r="A52" s="63" t="s">
        <v>385</v>
      </c>
      <c r="B52" s="64" t="s">
        <v>386</v>
      </c>
      <c r="C52" s="64"/>
      <c r="D52" s="64"/>
    </row>
    <row r="53" spans="1:4" x14ac:dyDescent="0.2">
      <c r="A53" s="68" t="s">
        <v>387</v>
      </c>
      <c r="B53" s="64" t="s">
        <v>386</v>
      </c>
      <c r="C53" s="67" t="s">
        <v>388</v>
      </c>
      <c r="D53" s="70"/>
    </row>
    <row r="54" spans="1:4" x14ac:dyDescent="0.2">
      <c r="A54" s="68" t="s">
        <v>389</v>
      </c>
      <c r="B54" s="64" t="s">
        <v>386</v>
      </c>
      <c r="C54" s="67" t="s">
        <v>390</v>
      </c>
      <c r="D54" s="70"/>
    </row>
    <row r="55" spans="1:4" x14ac:dyDescent="0.2">
      <c r="A55" s="68" t="s">
        <v>391</v>
      </c>
      <c r="B55" s="64" t="s">
        <v>386</v>
      </c>
      <c r="C55" s="67" t="s">
        <v>392</v>
      </c>
      <c r="D55" s="70"/>
    </row>
    <row r="56" spans="1:4" x14ac:dyDescent="0.2">
      <c r="A56" s="68" t="s">
        <v>393</v>
      </c>
      <c r="B56" s="64" t="s">
        <v>386</v>
      </c>
      <c r="C56" s="67" t="s">
        <v>91</v>
      </c>
      <c r="D56" s="70"/>
    </row>
    <row r="57" spans="1:4" x14ac:dyDescent="0.2">
      <c r="A57" s="68" t="s">
        <v>394</v>
      </c>
      <c r="B57" s="64" t="s">
        <v>386</v>
      </c>
      <c r="C57" s="67" t="s">
        <v>395</v>
      </c>
      <c r="D57" s="70"/>
    </row>
    <row r="58" spans="1:4" x14ac:dyDescent="0.2">
      <c r="A58" s="68" t="s">
        <v>396</v>
      </c>
      <c r="B58" s="64" t="s">
        <v>386</v>
      </c>
      <c r="C58" s="67" t="s">
        <v>397</v>
      </c>
      <c r="D58" s="70"/>
    </row>
    <row r="59" spans="1:4" x14ac:dyDescent="0.2">
      <c r="A59" s="68" t="s">
        <v>398</v>
      </c>
      <c r="B59" s="64" t="s">
        <v>386</v>
      </c>
      <c r="C59" s="67" t="s">
        <v>399</v>
      </c>
      <c r="D59" s="70"/>
    </row>
    <row r="60" spans="1:4" x14ac:dyDescent="0.2">
      <c r="A60" s="68" t="s">
        <v>400</v>
      </c>
      <c r="B60" s="64" t="s">
        <v>386</v>
      </c>
      <c r="C60" s="67" t="s">
        <v>401</v>
      </c>
      <c r="D60" s="70"/>
    </row>
    <row r="61" spans="1:4" x14ac:dyDescent="0.2">
      <c r="A61" s="68" t="s">
        <v>402</v>
      </c>
      <c r="B61" s="64" t="s">
        <v>386</v>
      </c>
      <c r="C61" s="67" t="s">
        <v>403</v>
      </c>
      <c r="D61" s="70"/>
    </row>
    <row r="62" spans="1:4" x14ac:dyDescent="0.25">
      <c r="A62" s="63" t="s">
        <v>404</v>
      </c>
      <c r="B62" s="64" t="s">
        <v>405</v>
      </c>
      <c r="C62" s="64"/>
      <c r="D62" s="64"/>
    </row>
    <row r="63" spans="1:4" x14ac:dyDescent="0.25">
      <c r="A63" s="63" t="s">
        <v>406</v>
      </c>
      <c r="B63" s="64" t="s">
        <v>407</v>
      </c>
      <c r="C63" s="64"/>
      <c r="D63" s="64"/>
    </row>
    <row r="64" spans="1:4" x14ac:dyDescent="0.25">
      <c r="A64" s="63" t="s">
        <v>408</v>
      </c>
      <c r="B64" s="64" t="s">
        <v>409</v>
      </c>
      <c r="C64" s="64"/>
      <c r="D64" s="64"/>
    </row>
    <row r="65" spans="1:4" x14ac:dyDescent="0.25">
      <c r="A65" s="63" t="s">
        <v>410</v>
      </c>
      <c r="B65" s="64" t="s">
        <v>411</v>
      </c>
      <c r="C65" s="64"/>
      <c r="D65" s="64"/>
    </row>
    <row r="66" spans="1:4" x14ac:dyDescent="0.25">
      <c r="A66" s="68" t="s">
        <v>412</v>
      </c>
      <c r="B66" s="64" t="s">
        <v>411</v>
      </c>
      <c r="C66" s="67" t="s">
        <v>413</v>
      </c>
      <c r="D66" s="69"/>
    </row>
    <row r="67" spans="1:4" x14ac:dyDescent="0.25">
      <c r="A67" s="68" t="s">
        <v>414</v>
      </c>
      <c r="B67" s="64" t="s">
        <v>411</v>
      </c>
      <c r="C67" s="67" t="s">
        <v>415</v>
      </c>
      <c r="D67" s="69"/>
    </row>
    <row r="68" spans="1:4" x14ac:dyDescent="0.25">
      <c r="A68" s="63" t="s">
        <v>258</v>
      </c>
      <c r="B68" s="64" t="s">
        <v>416</v>
      </c>
      <c r="C68" s="64"/>
      <c r="D68" s="64"/>
    </row>
    <row r="69" spans="1:4" x14ac:dyDescent="0.25">
      <c r="A69" s="66" t="s">
        <v>259</v>
      </c>
      <c r="B69" s="64" t="s">
        <v>416</v>
      </c>
      <c r="C69" s="67" t="s">
        <v>417</v>
      </c>
      <c r="D69" s="67"/>
    </row>
    <row r="70" spans="1:4" x14ac:dyDescent="0.25">
      <c r="A70" s="68" t="s">
        <v>418</v>
      </c>
      <c r="B70" s="64" t="s">
        <v>416</v>
      </c>
      <c r="C70" s="67" t="s">
        <v>417</v>
      </c>
      <c r="D70" s="69" t="s">
        <v>419</v>
      </c>
    </row>
    <row r="71" spans="1:4" x14ac:dyDescent="0.25">
      <c r="A71" s="68" t="s">
        <v>420</v>
      </c>
      <c r="B71" s="64" t="s">
        <v>416</v>
      </c>
      <c r="C71" s="67" t="s">
        <v>417</v>
      </c>
      <c r="D71" s="69" t="s">
        <v>421</v>
      </c>
    </row>
    <row r="72" spans="1:4" x14ac:dyDescent="0.25">
      <c r="A72" s="68" t="s">
        <v>422</v>
      </c>
      <c r="B72" s="64" t="s">
        <v>416</v>
      </c>
      <c r="C72" s="67" t="s">
        <v>417</v>
      </c>
      <c r="D72" s="69" t="s">
        <v>423</v>
      </c>
    </row>
    <row r="73" spans="1:4" x14ac:dyDescent="0.25">
      <c r="A73" s="68" t="s">
        <v>424</v>
      </c>
      <c r="B73" s="64" t="s">
        <v>416</v>
      </c>
      <c r="C73" s="67" t="s">
        <v>417</v>
      </c>
      <c r="D73" s="69" t="s">
        <v>425</v>
      </c>
    </row>
    <row r="74" spans="1:4" x14ac:dyDescent="0.25">
      <c r="A74" s="66" t="s">
        <v>260</v>
      </c>
      <c r="B74" s="64" t="s">
        <v>416</v>
      </c>
      <c r="C74" s="67" t="s">
        <v>426</v>
      </c>
      <c r="D74" s="67"/>
    </row>
    <row r="75" spans="1:4" x14ac:dyDescent="0.25">
      <c r="A75" s="68" t="s">
        <v>427</v>
      </c>
      <c r="B75" s="64" t="s">
        <v>416</v>
      </c>
      <c r="C75" s="67" t="s">
        <v>426</v>
      </c>
      <c r="D75" s="69" t="s">
        <v>428</v>
      </c>
    </row>
    <row r="76" spans="1:4" x14ac:dyDescent="0.25">
      <c r="A76" s="68" t="s">
        <v>429</v>
      </c>
      <c r="B76" s="64" t="s">
        <v>416</v>
      </c>
      <c r="C76" s="67" t="s">
        <v>426</v>
      </c>
      <c r="D76" s="69" t="s">
        <v>430</v>
      </c>
    </row>
    <row r="77" spans="1:4" x14ac:dyDescent="0.25">
      <c r="A77" s="68" t="s">
        <v>431</v>
      </c>
      <c r="B77" s="64" t="s">
        <v>416</v>
      </c>
      <c r="C77" s="67" t="s">
        <v>426</v>
      </c>
      <c r="D77" s="69" t="s">
        <v>432</v>
      </c>
    </row>
    <row r="78" spans="1:4" x14ac:dyDescent="0.25">
      <c r="A78" s="68" t="s">
        <v>433</v>
      </c>
      <c r="B78" s="64" t="s">
        <v>416</v>
      </c>
      <c r="C78" s="67" t="s">
        <v>426</v>
      </c>
      <c r="D78" s="69" t="s">
        <v>356</v>
      </c>
    </row>
    <row r="79" spans="1:4" x14ac:dyDescent="0.25">
      <c r="A79" s="68" t="s">
        <v>434</v>
      </c>
      <c r="B79" s="64" t="s">
        <v>416</v>
      </c>
      <c r="C79" s="67" t="s">
        <v>426</v>
      </c>
      <c r="D79" s="69" t="s">
        <v>435</v>
      </c>
    </row>
    <row r="80" spans="1:4" x14ac:dyDescent="0.25">
      <c r="A80" s="68" t="s">
        <v>436</v>
      </c>
      <c r="B80" s="64" t="s">
        <v>416</v>
      </c>
      <c r="C80" s="67" t="s">
        <v>426</v>
      </c>
      <c r="D80" s="69" t="s">
        <v>437</v>
      </c>
    </row>
    <row r="81" spans="1:4" x14ac:dyDescent="0.25">
      <c r="A81" s="68" t="s">
        <v>75</v>
      </c>
      <c r="B81" s="64" t="s">
        <v>416</v>
      </c>
      <c r="C81" s="67" t="s">
        <v>426</v>
      </c>
      <c r="D81" s="69" t="s">
        <v>76</v>
      </c>
    </row>
    <row r="82" spans="1:4" x14ac:dyDescent="0.25">
      <c r="A82" s="68" t="s">
        <v>438</v>
      </c>
      <c r="B82" s="64" t="s">
        <v>416</v>
      </c>
      <c r="C82" s="67" t="s">
        <v>426</v>
      </c>
      <c r="D82" s="69" t="s">
        <v>439</v>
      </c>
    </row>
    <row r="83" spans="1:4" x14ac:dyDescent="0.25">
      <c r="A83" s="68" t="s">
        <v>440</v>
      </c>
      <c r="B83" s="64" t="s">
        <v>416</v>
      </c>
      <c r="C83" s="67" t="s">
        <v>426</v>
      </c>
      <c r="D83" s="69" t="s">
        <v>441</v>
      </c>
    </row>
    <row r="84" spans="1:4" x14ac:dyDescent="0.25">
      <c r="A84" s="68" t="s">
        <v>442</v>
      </c>
      <c r="B84" s="64" t="s">
        <v>416</v>
      </c>
      <c r="C84" s="67" t="s">
        <v>426</v>
      </c>
      <c r="D84" s="69" t="s">
        <v>443</v>
      </c>
    </row>
    <row r="85" spans="1:4" x14ac:dyDescent="0.25">
      <c r="A85" s="68" t="s">
        <v>444</v>
      </c>
      <c r="B85" s="64" t="s">
        <v>416</v>
      </c>
      <c r="C85" s="67" t="s">
        <v>426</v>
      </c>
      <c r="D85" s="69" t="s">
        <v>445</v>
      </c>
    </row>
    <row r="86" spans="1:4" x14ac:dyDescent="0.25">
      <c r="A86" s="68" t="s">
        <v>446</v>
      </c>
      <c r="B86" s="64" t="s">
        <v>416</v>
      </c>
      <c r="C86" s="67" t="s">
        <v>426</v>
      </c>
      <c r="D86" s="69" t="s">
        <v>447</v>
      </c>
    </row>
    <row r="87" spans="1:4" x14ac:dyDescent="0.25">
      <c r="A87" s="68" t="s">
        <v>448</v>
      </c>
      <c r="B87" s="64" t="s">
        <v>416</v>
      </c>
      <c r="C87" s="67" t="s">
        <v>426</v>
      </c>
      <c r="D87" s="69" t="s">
        <v>449</v>
      </c>
    </row>
    <row r="88" spans="1:4" x14ac:dyDescent="0.25">
      <c r="A88" s="68" t="s">
        <v>450</v>
      </c>
      <c r="B88" s="64" t="s">
        <v>416</v>
      </c>
      <c r="C88" s="67" t="s">
        <v>426</v>
      </c>
      <c r="D88" s="69" t="s">
        <v>451</v>
      </c>
    </row>
    <row r="89" spans="1:4" x14ac:dyDescent="0.25">
      <c r="A89" s="68" t="s">
        <v>452</v>
      </c>
      <c r="B89" s="64" t="s">
        <v>416</v>
      </c>
      <c r="C89" s="67" t="s">
        <v>426</v>
      </c>
      <c r="D89" s="69" t="s">
        <v>453</v>
      </c>
    </row>
    <row r="90" spans="1:4" x14ac:dyDescent="0.25">
      <c r="A90" s="68" t="s">
        <v>454</v>
      </c>
      <c r="B90" s="64" t="s">
        <v>416</v>
      </c>
      <c r="C90" s="67" t="s">
        <v>426</v>
      </c>
      <c r="D90" s="69" t="s">
        <v>455</v>
      </c>
    </row>
    <row r="91" spans="1:4" x14ac:dyDescent="0.25">
      <c r="A91" s="68" t="s">
        <v>456</v>
      </c>
      <c r="B91" s="64" t="s">
        <v>416</v>
      </c>
      <c r="C91" s="67" t="s">
        <v>426</v>
      </c>
      <c r="D91" s="69" t="s">
        <v>457</v>
      </c>
    </row>
    <row r="92" spans="1:4" x14ac:dyDescent="0.25">
      <c r="A92" s="68" t="s">
        <v>458</v>
      </c>
      <c r="B92" s="64" t="s">
        <v>416</v>
      </c>
      <c r="C92" s="67" t="s">
        <v>426</v>
      </c>
      <c r="D92" s="69" t="s">
        <v>459</v>
      </c>
    </row>
    <row r="93" spans="1:4" x14ac:dyDescent="0.25">
      <c r="A93" s="66" t="s">
        <v>261</v>
      </c>
      <c r="B93" s="64" t="s">
        <v>416</v>
      </c>
      <c r="C93" s="67" t="s">
        <v>460</v>
      </c>
      <c r="D93" s="67"/>
    </row>
    <row r="94" spans="1:4" x14ac:dyDescent="0.25">
      <c r="A94" s="68" t="s">
        <v>461</v>
      </c>
      <c r="B94" s="64" t="s">
        <v>416</v>
      </c>
      <c r="C94" s="67" t="s">
        <v>460</v>
      </c>
      <c r="D94" s="69" t="s">
        <v>462</v>
      </c>
    </row>
    <row r="95" spans="1:4" x14ac:dyDescent="0.25">
      <c r="A95" s="68" t="s">
        <v>463</v>
      </c>
      <c r="B95" s="64" t="s">
        <v>416</v>
      </c>
      <c r="C95" s="67" t="s">
        <v>460</v>
      </c>
      <c r="D95" s="69" t="s">
        <v>464</v>
      </c>
    </row>
    <row r="96" spans="1:4" x14ac:dyDescent="0.25">
      <c r="A96" s="68" t="s">
        <v>465</v>
      </c>
      <c r="B96" s="64" t="s">
        <v>416</v>
      </c>
      <c r="C96" s="67" t="s">
        <v>460</v>
      </c>
      <c r="D96" s="69" t="s">
        <v>466</v>
      </c>
    </row>
    <row r="97" spans="1:4" x14ac:dyDescent="0.25">
      <c r="A97" s="68" t="s">
        <v>467</v>
      </c>
      <c r="B97" s="64" t="s">
        <v>416</v>
      </c>
      <c r="C97" s="67" t="s">
        <v>460</v>
      </c>
      <c r="D97" s="69" t="s">
        <v>468</v>
      </c>
    </row>
    <row r="98" spans="1:4" x14ac:dyDescent="0.25">
      <c r="A98" s="68" t="s">
        <v>469</v>
      </c>
      <c r="B98" s="64" t="s">
        <v>416</v>
      </c>
      <c r="C98" s="67" t="s">
        <v>460</v>
      </c>
      <c r="D98" s="69" t="s">
        <v>470</v>
      </c>
    </row>
    <row r="99" spans="1:4" x14ac:dyDescent="0.25">
      <c r="A99" s="63" t="s">
        <v>471</v>
      </c>
      <c r="B99" s="64" t="s">
        <v>472</v>
      </c>
      <c r="C99" s="64"/>
      <c r="D99" s="64"/>
    </row>
    <row r="100" spans="1:4" x14ac:dyDescent="0.25">
      <c r="A100" s="66" t="s">
        <v>262</v>
      </c>
      <c r="B100" s="64" t="s">
        <v>472</v>
      </c>
      <c r="C100" s="67" t="s">
        <v>473</v>
      </c>
      <c r="D100" s="67"/>
    </row>
    <row r="101" spans="1:4" x14ac:dyDescent="0.25">
      <c r="A101" s="68" t="s">
        <v>474</v>
      </c>
      <c r="B101" s="64" t="s">
        <v>472</v>
      </c>
      <c r="C101" s="67" t="s">
        <v>473</v>
      </c>
      <c r="D101" s="69" t="s">
        <v>475</v>
      </c>
    </row>
    <row r="102" spans="1:4" x14ac:dyDescent="0.25">
      <c r="A102" s="68" t="s">
        <v>476</v>
      </c>
      <c r="B102" s="64" t="s">
        <v>472</v>
      </c>
      <c r="C102" s="67" t="s">
        <v>473</v>
      </c>
      <c r="D102" s="69" t="s">
        <v>477</v>
      </c>
    </row>
    <row r="103" spans="1:4" x14ac:dyDescent="0.25">
      <c r="A103" s="68" t="s">
        <v>478</v>
      </c>
      <c r="B103" s="64" t="s">
        <v>472</v>
      </c>
      <c r="C103" s="67" t="s">
        <v>473</v>
      </c>
      <c r="D103" s="69" t="s">
        <v>479</v>
      </c>
    </row>
    <row r="104" spans="1:4" x14ac:dyDescent="0.25">
      <c r="A104" s="68" t="s">
        <v>480</v>
      </c>
      <c r="B104" s="64" t="s">
        <v>472</v>
      </c>
      <c r="C104" s="67" t="s">
        <v>473</v>
      </c>
      <c r="D104" s="69" t="s">
        <v>481</v>
      </c>
    </row>
    <row r="105" spans="1:4" x14ac:dyDescent="0.25">
      <c r="A105" s="68" t="s">
        <v>482</v>
      </c>
      <c r="B105" s="64" t="s">
        <v>472</v>
      </c>
      <c r="C105" s="67" t="s">
        <v>473</v>
      </c>
      <c r="D105" s="69" t="s">
        <v>483</v>
      </c>
    </row>
    <row r="106" spans="1:4" x14ac:dyDescent="0.25">
      <c r="A106" s="68" t="s">
        <v>484</v>
      </c>
      <c r="B106" s="64" t="s">
        <v>472</v>
      </c>
      <c r="C106" s="67" t="s">
        <v>473</v>
      </c>
      <c r="D106" s="69" t="s">
        <v>485</v>
      </c>
    </row>
    <row r="107" spans="1:4" x14ac:dyDescent="0.25">
      <c r="A107" s="68" t="s">
        <v>486</v>
      </c>
      <c r="B107" s="64" t="s">
        <v>472</v>
      </c>
      <c r="C107" s="67" t="s">
        <v>473</v>
      </c>
      <c r="D107" s="69" t="s">
        <v>487</v>
      </c>
    </row>
    <row r="108" spans="1:4" x14ac:dyDescent="0.25">
      <c r="A108" s="68" t="s">
        <v>488</v>
      </c>
      <c r="B108" s="64" t="s">
        <v>472</v>
      </c>
      <c r="C108" s="67" t="s">
        <v>473</v>
      </c>
      <c r="D108" s="69" t="s">
        <v>489</v>
      </c>
    </row>
    <row r="109" spans="1:4" x14ac:dyDescent="0.25">
      <c r="A109" s="68" t="s">
        <v>490</v>
      </c>
      <c r="B109" s="64" t="s">
        <v>472</v>
      </c>
      <c r="C109" s="67" t="s">
        <v>473</v>
      </c>
      <c r="D109" s="69" t="s">
        <v>491</v>
      </c>
    </row>
    <row r="110" spans="1:4" x14ac:dyDescent="0.25">
      <c r="A110" s="68" t="s">
        <v>492</v>
      </c>
      <c r="B110" s="64" t="s">
        <v>472</v>
      </c>
      <c r="C110" s="67" t="s">
        <v>473</v>
      </c>
      <c r="D110" s="69" t="s">
        <v>493</v>
      </c>
    </row>
    <row r="111" spans="1:4" x14ac:dyDescent="0.25">
      <c r="A111" s="68" t="s">
        <v>494</v>
      </c>
      <c r="B111" s="64" t="s">
        <v>472</v>
      </c>
      <c r="C111" s="67" t="s">
        <v>473</v>
      </c>
      <c r="D111" s="69" t="s">
        <v>495</v>
      </c>
    </row>
    <row r="112" spans="1:4" x14ac:dyDescent="0.25">
      <c r="A112" s="68" t="s">
        <v>496</v>
      </c>
      <c r="B112" s="64" t="s">
        <v>472</v>
      </c>
      <c r="C112" s="67" t="s">
        <v>473</v>
      </c>
      <c r="D112" s="69" t="s">
        <v>497</v>
      </c>
    </row>
    <row r="113" spans="1:4" x14ac:dyDescent="0.25">
      <c r="A113" s="68" t="s">
        <v>498</v>
      </c>
      <c r="B113" s="64" t="s">
        <v>472</v>
      </c>
      <c r="C113" s="67" t="s">
        <v>473</v>
      </c>
      <c r="D113" s="69" t="s">
        <v>499</v>
      </c>
    </row>
    <row r="114" spans="1:4" x14ac:dyDescent="0.25">
      <c r="A114" s="68" t="s">
        <v>500</v>
      </c>
      <c r="B114" s="64" t="s">
        <v>472</v>
      </c>
      <c r="C114" s="67" t="s">
        <v>473</v>
      </c>
      <c r="D114" s="69" t="s">
        <v>501</v>
      </c>
    </row>
    <row r="115" spans="1:4" x14ac:dyDescent="0.25">
      <c r="A115" s="68" t="s">
        <v>502</v>
      </c>
      <c r="B115" s="64" t="s">
        <v>472</v>
      </c>
      <c r="C115" s="67" t="s">
        <v>473</v>
      </c>
      <c r="D115" s="69" t="s">
        <v>503</v>
      </c>
    </row>
    <row r="116" spans="1:4" x14ac:dyDescent="0.25">
      <c r="A116" s="68" t="s">
        <v>504</v>
      </c>
      <c r="B116" s="64" t="s">
        <v>472</v>
      </c>
      <c r="C116" s="67" t="s">
        <v>473</v>
      </c>
      <c r="D116" s="69" t="s">
        <v>505</v>
      </c>
    </row>
    <row r="117" spans="1:4" x14ac:dyDescent="0.25">
      <c r="A117" s="68" t="s">
        <v>506</v>
      </c>
      <c r="B117" s="64" t="s">
        <v>472</v>
      </c>
      <c r="C117" s="67" t="s">
        <v>473</v>
      </c>
      <c r="D117" s="69" t="s">
        <v>507</v>
      </c>
    </row>
    <row r="118" spans="1:4" x14ac:dyDescent="0.25">
      <c r="A118" s="68" t="s">
        <v>508</v>
      </c>
      <c r="B118" s="64" t="s">
        <v>472</v>
      </c>
      <c r="C118" s="67" t="s">
        <v>473</v>
      </c>
      <c r="D118" s="69" t="s">
        <v>509</v>
      </c>
    </row>
    <row r="119" spans="1:4" x14ac:dyDescent="0.25">
      <c r="A119" s="68" t="s">
        <v>510</v>
      </c>
      <c r="B119" s="64" t="s">
        <v>472</v>
      </c>
      <c r="C119" s="67" t="s">
        <v>473</v>
      </c>
      <c r="D119" s="69" t="s">
        <v>511</v>
      </c>
    </row>
    <row r="120" spans="1:4" x14ac:dyDescent="0.25">
      <c r="A120" s="68" t="s">
        <v>512</v>
      </c>
      <c r="B120" s="64" t="s">
        <v>472</v>
      </c>
      <c r="C120" s="67" t="s">
        <v>473</v>
      </c>
      <c r="D120" s="69" t="s">
        <v>513</v>
      </c>
    </row>
    <row r="121" spans="1:4" x14ac:dyDescent="0.25">
      <c r="A121" s="68" t="s">
        <v>514</v>
      </c>
      <c r="B121" s="64" t="s">
        <v>472</v>
      </c>
      <c r="C121" s="67" t="s">
        <v>473</v>
      </c>
      <c r="D121" s="69" t="s">
        <v>515</v>
      </c>
    </row>
    <row r="122" spans="1:4" x14ac:dyDescent="0.25">
      <c r="A122" s="68" t="s">
        <v>516</v>
      </c>
      <c r="B122" s="64" t="s">
        <v>472</v>
      </c>
      <c r="C122" s="67" t="s">
        <v>473</v>
      </c>
      <c r="D122" s="69" t="s">
        <v>517</v>
      </c>
    </row>
    <row r="123" spans="1:4" x14ac:dyDescent="0.25">
      <c r="A123" s="66" t="s">
        <v>263</v>
      </c>
      <c r="B123" s="64" t="s">
        <v>472</v>
      </c>
      <c r="C123" s="67" t="s">
        <v>518</v>
      </c>
      <c r="D123" s="67"/>
    </row>
    <row r="124" spans="1:4" x14ac:dyDescent="0.25">
      <c r="A124" s="68" t="s">
        <v>519</v>
      </c>
      <c r="B124" s="64" t="s">
        <v>472</v>
      </c>
      <c r="C124" s="67" t="s">
        <v>518</v>
      </c>
      <c r="D124" s="69" t="s">
        <v>520</v>
      </c>
    </row>
    <row r="125" spans="1:4" x14ac:dyDescent="0.25">
      <c r="A125" s="66" t="s">
        <v>264</v>
      </c>
      <c r="B125" s="64" t="s">
        <v>472</v>
      </c>
      <c r="C125" s="67" t="s">
        <v>521</v>
      </c>
      <c r="D125" s="67"/>
    </row>
    <row r="126" spans="1:4" x14ac:dyDescent="0.25">
      <c r="A126" s="68" t="s">
        <v>522</v>
      </c>
      <c r="B126" s="64" t="s">
        <v>472</v>
      </c>
      <c r="C126" s="67" t="s">
        <v>521</v>
      </c>
      <c r="D126" s="69" t="s">
        <v>523</v>
      </c>
    </row>
    <row r="127" spans="1:4" x14ac:dyDescent="0.25">
      <c r="A127" s="68" t="s">
        <v>524</v>
      </c>
      <c r="B127" s="64" t="s">
        <v>472</v>
      </c>
      <c r="C127" s="67" t="s">
        <v>521</v>
      </c>
      <c r="D127" s="69" t="s">
        <v>525</v>
      </c>
    </row>
    <row r="128" spans="1:4" x14ac:dyDescent="0.25">
      <c r="A128" s="68" t="s">
        <v>526</v>
      </c>
      <c r="B128" s="64" t="s">
        <v>472</v>
      </c>
      <c r="C128" s="67" t="s">
        <v>521</v>
      </c>
      <c r="D128" s="69" t="s">
        <v>527</v>
      </c>
    </row>
    <row r="129" spans="1:4" x14ac:dyDescent="0.25">
      <c r="A129" s="68" t="s">
        <v>528</v>
      </c>
      <c r="B129" s="64" t="s">
        <v>472</v>
      </c>
      <c r="C129" s="67" t="s">
        <v>521</v>
      </c>
      <c r="D129" s="69" t="s">
        <v>529</v>
      </c>
    </row>
    <row r="130" spans="1:4" x14ac:dyDescent="0.25">
      <c r="A130" s="66" t="s">
        <v>265</v>
      </c>
      <c r="B130" s="64" t="s">
        <v>472</v>
      </c>
      <c r="C130" s="67" t="s">
        <v>530</v>
      </c>
      <c r="D130" s="67"/>
    </row>
    <row r="131" spans="1:4" x14ac:dyDescent="0.25">
      <c r="A131" s="68" t="s">
        <v>531</v>
      </c>
      <c r="B131" s="64" t="s">
        <v>472</v>
      </c>
      <c r="C131" s="67" t="s">
        <v>530</v>
      </c>
      <c r="D131" s="69" t="s">
        <v>532</v>
      </c>
    </row>
    <row r="132" spans="1:4" x14ac:dyDescent="0.25">
      <c r="A132" s="68" t="s">
        <v>533</v>
      </c>
      <c r="B132" s="64" t="s">
        <v>472</v>
      </c>
      <c r="C132" s="67" t="s">
        <v>530</v>
      </c>
      <c r="D132" s="69" t="s">
        <v>534</v>
      </c>
    </row>
    <row r="133" spans="1:4" x14ac:dyDescent="0.25">
      <c r="A133" s="68" t="s">
        <v>535</v>
      </c>
      <c r="B133" s="64" t="s">
        <v>472</v>
      </c>
      <c r="C133" s="67" t="s">
        <v>530</v>
      </c>
      <c r="D133" s="69" t="s">
        <v>536</v>
      </c>
    </row>
    <row r="134" spans="1:4" x14ac:dyDescent="0.25">
      <c r="A134" s="66" t="s">
        <v>266</v>
      </c>
      <c r="B134" s="64" t="s">
        <v>472</v>
      </c>
      <c r="C134" s="67" t="s">
        <v>537</v>
      </c>
      <c r="D134" s="67"/>
    </row>
    <row r="135" spans="1:4" x14ac:dyDescent="0.25">
      <c r="A135" s="68" t="s">
        <v>538</v>
      </c>
      <c r="B135" s="64" t="s">
        <v>472</v>
      </c>
      <c r="C135" s="67" t="s">
        <v>537</v>
      </c>
      <c r="D135" s="69" t="s">
        <v>539</v>
      </c>
    </row>
    <row r="136" spans="1:4" x14ac:dyDescent="0.25">
      <c r="A136" s="68" t="s">
        <v>540</v>
      </c>
      <c r="B136" s="64" t="s">
        <v>472</v>
      </c>
      <c r="C136" s="67" t="s">
        <v>537</v>
      </c>
      <c r="D136" s="69" t="s">
        <v>541</v>
      </c>
    </row>
    <row r="137" spans="1:4" x14ac:dyDescent="0.25">
      <c r="A137" s="68" t="s">
        <v>542</v>
      </c>
      <c r="B137" s="64" t="s">
        <v>472</v>
      </c>
      <c r="C137" s="67" t="s">
        <v>537</v>
      </c>
      <c r="D137" s="69" t="s">
        <v>543</v>
      </c>
    </row>
    <row r="138" spans="1:4" x14ac:dyDescent="0.25">
      <c r="A138" s="66" t="s">
        <v>267</v>
      </c>
      <c r="B138" s="64" t="s">
        <v>472</v>
      </c>
      <c r="C138" s="67" t="s">
        <v>544</v>
      </c>
      <c r="D138" s="67"/>
    </row>
    <row r="139" spans="1:4" x14ac:dyDescent="0.25">
      <c r="A139" s="68" t="s">
        <v>545</v>
      </c>
      <c r="B139" s="64" t="s">
        <v>472</v>
      </c>
      <c r="C139" s="67" t="s">
        <v>544</v>
      </c>
      <c r="D139" s="69" t="s">
        <v>546</v>
      </c>
    </row>
    <row r="140" spans="1:4" x14ac:dyDescent="0.25">
      <c r="A140" s="68" t="s">
        <v>547</v>
      </c>
      <c r="B140" s="64" t="s">
        <v>472</v>
      </c>
      <c r="C140" s="67" t="s">
        <v>544</v>
      </c>
      <c r="D140" s="69" t="s">
        <v>548</v>
      </c>
    </row>
    <row r="141" spans="1:4" x14ac:dyDescent="0.25">
      <c r="A141" s="68" t="s">
        <v>549</v>
      </c>
      <c r="B141" s="64" t="s">
        <v>472</v>
      </c>
      <c r="C141" s="67" t="s">
        <v>544</v>
      </c>
      <c r="D141" s="69" t="s">
        <v>550</v>
      </c>
    </row>
    <row r="142" spans="1:4" x14ac:dyDescent="0.25">
      <c r="A142" s="68" t="s">
        <v>551</v>
      </c>
      <c r="B142" s="64" t="s">
        <v>472</v>
      </c>
      <c r="C142" s="67" t="s">
        <v>544</v>
      </c>
      <c r="D142" s="69" t="s">
        <v>552</v>
      </c>
    </row>
    <row r="143" spans="1:4" x14ac:dyDescent="0.25">
      <c r="A143" s="68" t="s">
        <v>553</v>
      </c>
      <c r="B143" s="64" t="s">
        <v>472</v>
      </c>
      <c r="C143" s="67" t="s">
        <v>544</v>
      </c>
      <c r="D143" s="69" t="s">
        <v>554</v>
      </c>
    </row>
    <row r="144" spans="1:4" x14ac:dyDescent="0.25">
      <c r="A144" s="68" t="s">
        <v>555</v>
      </c>
      <c r="B144" s="64" t="s">
        <v>472</v>
      </c>
      <c r="C144" s="67" t="s">
        <v>544</v>
      </c>
      <c r="D144" s="69" t="s">
        <v>556</v>
      </c>
    </row>
    <row r="145" spans="1:4" x14ac:dyDescent="0.25">
      <c r="A145" s="68" t="s">
        <v>557</v>
      </c>
      <c r="B145" s="64" t="s">
        <v>472</v>
      </c>
      <c r="C145" s="67" t="s">
        <v>544</v>
      </c>
      <c r="D145" s="69" t="s">
        <v>558</v>
      </c>
    </row>
    <row r="146" spans="1:4" x14ac:dyDescent="0.25">
      <c r="A146" s="68" t="s">
        <v>559</v>
      </c>
      <c r="B146" s="64" t="s">
        <v>472</v>
      </c>
      <c r="C146" s="67" t="s">
        <v>544</v>
      </c>
      <c r="D146" s="69" t="s">
        <v>560</v>
      </c>
    </row>
    <row r="147" spans="1:4" x14ac:dyDescent="0.25">
      <c r="A147" s="68" t="s">
        <v>561</v>
      </c>
      <c r="B147" s="64" t="s">
        <v>472</v>
      </c>
      <c r="C147" s="67" t="s">
        <v>544</v>
      </c>
      <c r="D147" s="69" t="s">
        <v>562</v>
      </c>
    </row>
    <row r="148" spans="1:4" x14ac:dyDescent="0.25">
      <c r="A148" s="68" t="s">
        <v>563</v>
      </c>
      <c r="B148" s="64" t="s">
        <v>472</v>
      </c>
      <c r="C148" s="67" t="s">
        <v>544</v>
      </c>
      <c r="D148" s="69" t="s">
        <v>564</v>
      </c>
    </row>
    <row r="149" spans="1:4" x14ac:dyDescent="0.25">
      <c r="A149" s="68" t="s">
        <v>565</v>
      </c>
      <c r="B149" s="64" t="s">
        <v>472</v>
      </c>
      <c r="C149" s="67" t="s">
        <v>544</v>
      </c>
      <c r="D149" s="69" t="s">
        <v>566</v>
      </c>
    </row>
    <row r="150" spans="1:4" x14ac:dyDescent="0.25">
      <c r="A150" s="68" t="s">
        <v>567</v>
      </c>
      <c r="B150" s="64" t="s">
        <v>472</v>
      </c>
      <c r="C150" s="67" t="s">
        <v>544</v>
      </c>
      <c r="D150" s="69" t="s">
        <v>568</v>
      </c>
    </row>
    <row r="151" spans="1:4" x14ac:dyDescent="0.25">
      <c r="A151" s="68" t="s">
        <v>569</v>
      </c>
      <c r="B151" s="64" t="s">
        <v>472</v>
      </c>
      <c r="C151" s="67" t="s">
        <v>544</v>
      </c>
      <c r="D151" s="69" t="s">
        <v>570</v>
      </c>
    </row>
    <row r="152" spans="1:4" x14ac:dyDescent="0.25">
      <c r="A152" s="68" t="s">
        <v>571</v>
      </c>
      <c r="B152" s="64" t="s">
        <v>472</v>
      </c>
      <c r="C152" s="67" t="s">
        <v>544</v>
      </c>
      <c r="D152" s="69" t="s">
        <v>572</v>
      </c>
    </row>
    <row r="153" spans="1:4" x14ac:dyDescent="0.25">
      <c r="A153" s="68" t="s">
        <v>573</v>
      </c>
      <c r="B153" s="64" t="s">
        <v>472</v>
      </c>
      <c r="C153" s="67" t="s">
        <v>544</v>
      </c>
      <c r="D153" s="69" t="s">
        <v>574</v>
      </c>
    </row>
    <row r="154" spans="1:4" x14ac:dyDescent="0.25">
      <c r="A154" s="68" t="s">
        <v>575</v>
      </c>
      <c r="B154" s="64" t="s">
        <v>472</v>
      </c>
      <c r="C154" s="67" t="s">
        <v>544</v>
      </c>
      <c r="D154" s="69" t="s">
        <v>576</v>
      </c>
    </row>
    <row r="155" spans="1:4" x14ac:dyDescent="0.25">
      <c r="A155" s="68" t="s">
        <v>577</v>
      </c>
      <c r="B155" s="64" t="s">
        <v>472</v>
      </c>
      <c r="C155" s="67" t="s">
        <v>544</v>
      </c>
      <c r="D155" s="69" t="s">
        <v>578</v>
      </c>
    </row>
    <row r="156" spans="1:4" x14ac:dyDescent="0.25">
      <c r="A156" s="68" t="s">
        <v>579</v>
      </c>
      <c r="B156" s="64" t="s">
        <v>472</v>
      </c>
      <c r="C156" s="67" t="s">
        <v>544</v>
      </c>
      <c r="D156" s="69" t="s">
        <v>580</v>
      </c>
    </row>
    <row r="157" spans="1:4" x14ac:dyDescent="0.25">
      <c r="A157" s="68" t="s">
        <v>581</v>
      </c>
      <c r="B157" s="64" t="s">
        <v>472</v>
      </c>
      <c r="C157" s="67" t="s">
        <v>544</v>
      </c>
      <c r="D157" s="69" t="s">
        <v>582</v>
      </c>
    </row>
    <row r="158" spans="1:4" x14ac:dyDescent="0.25">
      <c r="A158" s="68" t="s">
        <v>583</v>
      </c>
      <c r="B158" s="64" t="s">
        <v>472</v>
      </c>
      <c r="C158" s="67" t="s">
        <v>544</v>
      </c>
      <c r="D158" s="69" t="s">
        <v>584</v>
      </c>
    </row>
    <row r="159" spans="1:4" x14ac:dyDescent="0.25">
      <c r="A159" s="68" t="s">
        <v>585</v>
      </c>
      <c r="B159" s="64" t="s">
        <v>472</v>
      </c>
      <c r="C159" s="67" t="s">
        <v>544</v>
      </c>
      <c r="D159" s="69" t="s">
        <v>586</v>
      </c>
    </row>
    <row r="160" spans="1:4" x14ac:dyDescent="0.25">
      <c r="A160" s="68" t="s">
        <v>587</v>
      </c>
      <c r="B160" s="64" t="s">
        <v>472</v>
      </c>
      <c r="C160" s="67" t="s">
        <v>544</v>
      </c>
      <c r="D160" s="69" t="s">
        <v>588</v>
      </c>
    </row>
    <row r="161" spans="1:4" x14ac:dyDescent="0.25">
      <c r="A161" s="68" t="s">
        <v>589</v>
      </c>
      <c r="B161" s="64" t="s">
        <v>472</v>
      </c>
      <c r="C161" s="67" t="s">
        <v>544</v>
      </c>
      <c r="D161" s="69" t="s">
        <v>590</v>
      </c>
    </row>
    <row r="162" spans="1:4" x14ac:dyDescent="0.25">
      <c r="A162" s="68" t="s">
        <v>591</v>
      </c>
      <c r="B162" s="64" t="s">
        <v>472</v>
      </c>
      <c r="C162" s="67" t="s">
        <v>544</v>
      </c>
      <c r="D162" s="69" t="s">
        <v>592</v>
      </c>
    </row>
    <row r="163" spans="1:4" x14ac:dyDescent="0.25">
      <c r="A163" s="68" t="s">
        <v>593</v>
      </c>
      <c r="B163" s="64" t="s">
        <v>472</v>
      </c>
      <c r="C163" s="67" t="s">
        <v>544</v>
      </c>
      <c r="D163" s="69" t="s">
        <v>594</v>
      </c>
    </row>
    <row r="164" spans="1:4" x14ac:dyDescent="0.25">
      <c r="A164" s="68" t="s">
        <v>595</v>
      </c>
      <c r="B164" s="64" t="s">
        <v>472</v>
      </c>
      <c r="C164" s="67" t="s">
        <v>544</v>
      </c>
      <c r="D164" s="69" t="s">
        <v>596</v>
      </c>
    </row>
    <row r="165" spans="1:4" x14ac:dyDescent="0.25">
      <c r="A165" s="68" t="s">
        <v>597</v>
      </c>
      <c r="B165" s="64" t="s">
        <v>472</v>
      </c>
      <c r="C165" s="67" t="s">
        <v>544</v>
      </c>
      <c r="D165" s="69" t="s">
        <v>598</v>
      </c>
    </row>
    <row r="166" spans="1:4" x14ac:dyDescent="0.25">
      <c r="A166" s="68" t="s">
        <v>599</v>
      </c>
      <c r="B166" s="64" t="s">
        <v>472</v>
      </c>
      <c r="C166" s="67" t="s">
        <v>544</v>
      </c>
      <c r="D166" s="69" t="s">
        <v>600</v>
      </c>
    </row>
    <row r="167" spans="1:4" x14ac:dyDescent="0.25">
      <c r="A167" s="68" t="s">
        <v>601</v>
      </c>
      <c r="B167" s="64" t="s">
        <v>472</v>
      </c>
      <c r="C167" s="67" t="s">
        <v>544</v>
      </c>
      <c r="D167" s="69" t="s">
        <v>602</v>
      </c>
    </row>
    <row r="168" spans="1:4" x14ac:dyDescent="0.25">
      <c r="A168" s="68" t="s">
        <v>603</v>
      </c>
      <c r="B168" s="64" t="s">
        <v>472</v>
      </c>
      <c r="C168" s="67" t="s">
        <v>544</v>
      </c>
      <c r="D168" s="69" t="s">
        <v>604</v>
      </c>
    </row>
    <row r="169" spans="1:4" x14ac:dyDescent="0.25">
      <c r="A169" s="68" t="s">
        <v>605</v>
      </c>
      <c r="B169" s="64" t="s">
        <v>472</v>
      </c>
      <c r="C169" s="67" t="s">
        <v>544</v>
      </c>
      <c r="D169" s="69" t="s">
        <v>606</v>
      </c>
    </row>
    <row r="170" spans="1:4" x14ac:dyDescent="0.25">
      <c r="A170" s="68" t="s">
        <v>607</v>
      </c>
      <c r="B170" s="64" t="s">
        <v>472</v>
      </c>
      <c r="C170" s="67" t="s">
        <v>544</v>
      </c>
      <c r="D170" s="69" t="s">
        <v>608</v>
      </c>
    </row>
    <row r="171" spans="1:4" x14ac:dyDescent="0.25">
      <c r="A171" s="68" t="s">
        <v>609</v>
      </c>
      <c r="B171" s="64" t="s">
        <v>472</v>
      </c>
      <c r="C171" s="67" t="s">
        <v>544</v>
      </c>
      <c r="D171" s="69" t="s">
        <v>610</v>
      </c>
    </row>
    <row r="172" spans="1:4" x14ac:dyDescent="0.25">
      <c r="A172" s="68" t="s">
        <v>611</v>
      </c>
      <c r="B172" s="64" t="s">
        <v>472</v>
      </c>
      <c r="C172" s="67" t="s">
        <v>544</v>
      </c>
      <c r="D172" s="69" t="s">
        <v>612</v>
      </c>
    </row>
    <row r="173" spans="1:4" x14ac:dyDescent="0.25">
      <c r="A173" s="68" t="s">
        <v>613</v>
      </c>
      <c r="B173" s="64" t="s">
        <v>472</v>
      </c>
      <c r="C173" s="67" t="s">
        <v>544</v>
      </c>
      <c r="D173" s="69" t="s">
        <v>614</v>
      </c>
    </row>
    <row r="174" spans="1:4" x14ac:dyDescent="0.25">
      <c r="A174" s="68" t="s">
        <v>615</v>
      </c>
      <c r="B174" s="64" t="s">
        <v>472</v>
      </c>
      <c r="C174" s="67" t="s">
        <v>544</v>
      </c>
      <c r="D174" s="69" t="s">
        <v>616</v>
      </c>
    </row>
    <row r="175" spans="1:4" x14ac:dyDescent="0.25">
      <c r="A175" s="68" t="s">
        <v>617</v>
      </c>
      <c r="B175" s="64" t="s">
        <v>472</v>
      </c>
      <c r="C175" s="67" t="s">
        <v>544</v>
      </c>
      <c r="D175" s="69" t="s">
        <v>618</v>
      </c>
    </row>
    <row r="176" spans="1:4" x14ac:dyDescent="0.25">
      <c r="A176" s="68" t="s">
        <v>619</v>
      </c>
      <c r="B176" s="64" t="s">
        <v>472</v>
      </c>
      <c r="C176" s="67" t="s">
        <v>544</v>
      </c>
      <c r="D176" s="69" t="s">
        <v>620</v>
      </c>
    </row>
    <row r="177" spans="1:4" x14ac:dyDescent="0.25">
      <c r="A177" s="68" t="s">
        <v>621</v>
      </c>
      <c r="B177" s="64" t="s">
        <v>472</v>
      </c>
      <c r="C177" s="67" t="s">
        <v>544</v>
      </c>
      <c r="D177" s="69" t="s">
        <v>622</v>
      </c>
    </row>
    <row r="178" spans="1:4" x14ac:dyDescent="0.25">
      <c r="A178" s="68" t="s">
        <v>623</v>
      </c>
      <c r="B178" s="64" t="s">
        <v>472</v>
      </c>
      <c r="C178" s="67" t="s">
        <v>544</v>
      </c>
      <c r="D178" s="69" t="s">
        <v>624</v>
      </c>
    </row>
    <row r="179" spans="1:4" x14ac:dyDescent="0.25">
      <c r="A179" s="68" t="s">
        <v>625</v>
      </c>
      <c r="B179" s="64" t="s">
        <v>472</v>
      </c>
      <c r="C179" s="67" t="s">
        <v>544</v>
      </c>
      <c r="D179" s="69" t="s">
        <v>626</v>
      </c>
    </row>
    <row r="180" spans="1:4" x14ac:dyDescent="0.25">
      <c r="A180" s="66" t="s">
        <v>268</v>
      </c>
      <c r="B180" s="64" t="s">
        <v>472</v>
      </c>
      <c r="C180" s="67" t="s">
        <v>627</v>
      </c>
      <c r="D180" s="67"/>
    </row>
    <row r="181" spans="1:4" x14ac:dyDescent="0.25">
      <c r="A181" s="68" t="s">
        <v>628</v>
      </c>
      <c r="B181" s="64" t="s">
        <v>472</v>
      </c>
      <c r="C181" s="67" t="s">
        <v>627</v>
      </c>
      <c r="D181" s="69" t="s">
        <v>629</v>
      </c>
    </row>
    <row r="182" spans="1:4" x14ac:dyDescent="0.25">
      <c r="A182" s="68" t="s">
        <v>630</v>
      </c>
      <c r="B182" s="64" t="s">
        <v>472</v>
      </c>
      <c r="C182" s="67" t="s">
        <v>627</v>
      </c>
      <c r="D182" s="69" t="s">
        <v>631</v>
      </c>
    </row>
    <row r="183" spans="1:4" x14ac:dyDescent="0.25">
      <c r="A183" s="68" t="s">
        <v>632</v>
      </c>
      <c r="B183" s="64" t="s">
        <v>472</v>
      </c>
      <c r="C183" s="67" t="s">
        <v>627</v>
      </c>
      <c r="D183" s="69" t="s">
        <v>633</v>
      </c>
    </row>
    <row r="184" spans="1:4" x14ac:dyDescent="0.25">
      <c r="A184" s="68" t="s">
        <v>634</v>
      </c>
      <c r="B184" s="64" t="s">
        <v>472</v>
      </c>
      <c r="C184" s="67" t="s">
        <v>627</v>
      </c>
      <c r="D184" s="69" t="s">
        <v>635</v>
      </c>
    </row>
    <row r="185" spans="1:4" x14ac:dyDescent="0.25">
      <c r="A185" s="68" t="s">
        <v>636</v>
      </c>
      <c r="B185" s="64" t="s">
        <v>472</v>
      </c>
      <c r="C185" s="67" t="s">
        <v>627</v>
      </c>
      <c r="D185" s="69" t="s">
        <v>637</v>
      </c>
    </row>
    <row r="186" spans="1:4" x14ac:dyDescent="0.25">
      <c r="A186" s="68" t="s">
        <v>638</v>
      </c>
      <c r="B186" s="64" t="s">
        <v>472</v>
      </c>
      <c r="C186" s="67" t="s">
        <v>627</v>
      </c>
      <c r="D186" s="69" t="s">
        <v>639</v>
      </c>
    </row>
    <row r="187" spans="1:4" x14ac:dyDescent="0.25">
      <c r="A187" s="68" t="s">
        <v>640</v>
      </c>
      <c r="B187" s="64" t="s">
        <v>472</v>
      </c>
      <c r="C187" s="67" t="s">
        <v>627</v>
      </c>
      <c r="D187" s="69" t="s">
        <v>641</v>
      </c>
    </row>
    <row r="188" spans="1:4" x14ac:dyDescent="0.25">
      <c r="A188" s="68" t="s">
        <v>642</v>
      </c>
      <c r="B188" s="64" t="s">
        <v>472</v>
      </c>
      <c r="C188" s="67" t="s">
        <v>627</v>
      </c>
      <c r="D188" s="69" t="s">
        <v>643</v>
      </c>
    </row>
    <row r="189" spans="1:4" x14ac:dyDescent="0.25">
      <c r="A189" s="68" t="s">
        <v>644</v>
      </c>
      <c r="B189" s="64" t="s">
        <v>472</v>
      </c>
      <c r="C189" s="67" t="s">
        <v>627</v>
      </c>
      <c r="D189" s="69" t="s">
        <v>645</v>
      </c>
    </row>
    <row r="190" spans="1:4" x14ac:dyDescent="0.25">
      <c r="A190" s="68" t="s">
        <v>646</v>
      </c>
      <c r="B190" s="64" t="s">
        <v>472</v>
      </c>
      <c r="C190" s="67" t="s">
        <v>627</v>
      </c>
      <c r="D190" s="69" t="s">
        <v>647</v>
      </c>
    </row>
    <row r="191" spans="1:4" x14ac:dyDescent="0.25">
      <c r="A191" s="68" t="s">
        <v>648</v>
      </c>
      <c r="B191" s="64" t="s">
        <v>472</v>
      </c>
      <c r="C191" s="67" t="s">
        <v>627</v>
      </c>
      <c r="D191" s="69" t="s">
        <v>649</v>
      </c>
    </row>
    <row r="192" spans="1:4" x14ac:dyDescent="0.25">
      <c r="A192" s="68" t="s">
        <v>650</v>
      </c>
      <c r="B192" s="64" t="s">
        <v>472</v>
      </c>
      <c r="C192" s="67" t="s">
        <v>627</v>
      </c>
      <c r="D192" s="69" t="s">
        <v>651</v>
      </c>
    </row>
    <row r="193" spans="1:4" x14ac:dyDescent="0.25">
      <c r="A193" s="68" t="s">
        <v>652</v>
      </c>
      <c r="B193" s="64" t="s">
        <v>472</v>
      </c>
      <c r="C193" s="67" t="s">
        <v>627</v>
      </c>
      <c r="D193" s="69" t="s">
        <v>653</v>
      </c>
    </row>
    <row r="194" spans="1:4" x14ac:dyDescent="0.25">
      <c r="A194" s="68" t="s">
        <v>654</v>
      </c>
      <c r="B194" s="64" t="s">
        <v>472</v>
      </c>
      <c r="C194" s="67" t="s">
        <v>627</v>
      </c>
      <c r="D194" s="69" t="s">
        <v>655</v>
      </c>
    </row>
    <row r="195" spans="1:4" x14ac:dyDescent="0.25">
      <c r="A195" s="68" t="s">
        <v>656</v>
      </c>
      <c r="B195" s="64" t="s">
        <v>472</v>
      </c>
      <c r="C195" s="67" t="s">
        <v>627</v>
      </c>
      <c r="D195" s="69" t="s">
        <v>657</v>
      </c>
    </row>
    <row r="196" spans="1:4" x14ac:dyDescent="0.25">
      <c r="A196" s="68" t="s">
        <v>658</v>
      </c>
      <c r="B196" s="64" t="s">
        <v>472</v>
      </c>
      <c r="C196" s="67" t="s">
        <v>627</v>
      </c>
      <c r="D196" s="69" t="s">
        <v>659</v>
      </c>
    </row>
    <row r="197" spans="1:4" x14ac:dyDescent="0.25">
      <c r="A197" s="68" t="s">
        <v>660</v>
      </c>
      <c r="B197" s="64" t="s">
        <v>472</v>
      </c>
      <c r="C197" s="67" t="s">
        <v>627</v>
      </c>
      <c r="D197" s="69" t="s">
        <v>661</v>
      </c>
    </row>
    <row r="198" spans="1:4" x14ac:dyDescent="0.25">
      <c r="A198" s="68" t="s">
        <v>662</v>
      </c>
      <c r="B198" s="64" t="s">
        <v>472</v>
      </c>
      <c r="C198" s="67" t="s">
        <v>627</v>
      </c>
      <c r="D198" s="69" t="s">
        <v>663</v>
      </c>
    </row>
    <row r="199" spans="1:4" x14ac:dyDescent="0.25">
      <c r="A199" s="68" t="s">
        <v>664</v>
      </c>
      <c r="B199" s="64" t="s">
        <v>472</v>
      </c>
      <c r="C199" s="67" t="s">
        <v>627</v>
      </c>
      <c r="D199" s="69" t="s">
        <v>665</v>
      </c>
    </row>
    <row r="200" spans="1:4" x14ac:dyDescent="0.25">
      <c r="A200" s="66" t="s">
        <v>269</v>
      </c>
      <c r="B200" s="64" t="s">
        <v>472</v>
      </c>
      <c r="C200" s="67" t="s">
        <v>666</v>
      </c>
      <c r="D200" s="67"/>
    </row>
    <row r="201" spans="1:4" x14ac:dyDescent="0.25">
      <c r="A201" s="68" t="s">
        <v>667</v>
      </c>
      <c r="B201" s="64" t="s">
        <v>472</v>
      </c>
      <c r="C201" s="67" t="s">
        <v>666</v>
      </c>
      <c r="D201" s="69" t="s">
        <v>668</v>
      </c>
    </row>
    <row r="202" spans="1:4" x14ac:dyDescent="0.25">
      <c r="A202" s="68" t="s">
        <v>669</v>
      </c>
      <c r="B202" s="64" t="s">
        <v>472</v>
      </c>
      <c r="C202" s="67" t="s">
        <v>666</v>
      </c>
      <c r="D202" s="69" t="s">
        <v>670</v>
      </c>
    </row>
    <row r="203" spans="1:4" x14ac:dyDescent="0.25">
      <c r="A203" s="68" t="s">
        <v>671</v>
      </c>
      <c r="B203" s="64" t="s">
        <v>472</v>
      </c>
      <c r="C203" s="67" t="s">
        <v>666</v>
      </c>
      <c r="D203" s="69" t="s">
        <v>672</v>
      </c>
    </row>
    <row r="204" spans="1:4" x14ac:dyDescent="0.25">
      <c r="A204" s="68" t="s">
        <v>673</v>
      </c>
      <c r="B204" s="64" t="s">
        <v>472</v>
      </c>
      <c r="C204" s="67" t="s">
        <v>666</v>
      </c>
      <c r="D204" s="69" t="s">
        <v>674</v>
      </c>
    </row>
    <row r="205" spans="1:4" x14ac:dyDescent="0.25">
      <c r="A205" s="68" t="s">
        <v>675</v>
      </c>
      <c r="B205" s="64" t="s">
        <v>472</v>
      </c>
      <c r="C205" s="67" t="s">
        <v>666</v>
      </c>
      <c r="D205" s="69" t="s">
        <v>676</v>
      </c>
    </row>
    <row r="206" spans="1:4" x14ac:dyDescent="0.25">
      <c r="A206" s="66" t="s">
        <v>270</v>
      </c>
      <c r="B206" s="64" t="s">
        <v>472</v>
      </c>
      <c r="C206" s="67" t="s">
        <v>677</v>
      </c>
      <c r="D206" s="67"/>
    </row>
    <row r="207" spans="1:4" x14ac:dyDescent="0.25">
      <c r="A207" s="68" t="s">
        <v>678</v>
      </c>
      <c r="B207" s="64" t="s">
        <v>472</v>
      </c>
      <c r="C207" s="67" t="s">
        <v>677</v>
      </c>
      <c r="D207" s="69" t="s">
        <v>679</v>
      </c>
    </row>
    <row r="208" spans="1:4" x14ac:dyDescent="0.25">
      <c r="A208" s="68" t="s">
        <v>680</v>
      </c>
      <c r="B208" s="64" t="s">
        <v>472</v>
      </c>
      <c r="C208" s="67" t="s">
        <v>677</v>
      </c>
      <c r="D208" s="69" t="s">
        <v>681</v>
      </c>
    </row>
    <row r="209" spans="1:4" x14ac:dyDescent="0.25">
      <c r="A209" s="66" t="s">
        <v>271</v>
      </c>
      <c r="B209" s="64" t="s">
        <v>472</v>
      </c>
      <c r="C209" s="67" t="s">
        <v>426</v>
      </c>
      <c r="D209" s="67"/>
    </row>
    <row r="210" spans="1:4" x14ac:dyDescent="0.25">
      <c r="A210" s="68" t="s">
        <v>682</v>
      </c>
      <c r="B210" s="64" t="s">
        <v>472</v>
      </c>
      <c r="C210" s="67" t="s">
        <v>426</v>
      </c>
      <c r="D210" s="69" t="s">
        <v>683</v>
      </c>
    </row>
    <row r="211" spans="1:4" x14ac:dyDescent="0.25">
      <c r="A211" s="68" t="s">
        <v>684</v>
      </c>
      <c r="B211" s="64" t="s">
        <v>472</v>
      </c>
      <c r="C211" s="67" t="s">
        <v>426</v>
      </c>
      <c r="D211" s="69" t="s">
        <v>685</v>
      </c>
    </row>
    <row r="212" spans="1:4" x14ac:dyDescent="0.25">
      <c r="A212" s="68" t="s">
        <v>686</v>
      </c>
      <c r="B212" s="64" t="s">
        <v>472</v>
      </c>
      <c r="C212" s="67" t="s">
        <v>426</v>
      </c>
      <c r="D212" s="69" t="s">
        <v>687</v>
      </c>
    </row>
    <row r="213" spans="1:4" x14ac:dyDescent="0.25">
      <c r="A213" s="68" t="s">
        <v>688</v>
      </c>
      <c r="B213" s="64" t="s">
        <v>472</v>
      </c>
      <c r="C213" s="67" t="s">
        <v>426</v>
      </c>
      <c r="D213" s="69" t="s">
        <v>689</v>
      </c>
    </row>
    <row r="214" spans="1:4" x14ac:dyDescent="0.25">
      <c r="A214" s="68" t="s">
        <v>690</v>
      </c>
      <c r="B214" s="64" t="s">
        <v>472</v>
      </c>
      <c r="C214" s="67" t="s">
        <v>426</v>
      </c>
      <c r="D214" s="69" t="s">
        <v>691</v>
      </c>
    </row>
    <row r="215" spans="1:4" x14ac:dyDescent="0.25">
      <c r="A215" s="68" t="s">
        <v>692</v>
      </c>
      <c r="B215" s="64" t="s">
        <v>472</v>
      </c>
      <c r="C215" s="67" t="s">
        <v>426</v>
      </c>
      <c r="D215" s="69" t="s">
        <v>693</v>
      </c>
    </row>
    <row r="216" spans="1:4" x14ac:dyDescent="0.25">
      <c r="A216" s="68" t="s">
        <v>694</v>
      </c>
      <c r="B216" s="64" t="s">
        <v>472</v>
      </c>
      <c r="C216" s="67" t="s">
        <v>426</v>
      </c>
      <c r="D216" s="69" t="s">
        <v>695</v>
      </c>
    </row>
    <row r="217" spans="1:4" x14ac:dyDescent="0.25">
      <c r="A217" s="68" t="s">
        <v>696</v>
      </c>
      <c r="B217" s="64" t="s">
        <v>472</v>
      </c>
      <c r="C217" s="67" t="s">
        <v>426</v>
      </c>
      <c r="D217" s="69" t="s">
        <v>697</v>
      </c>
    </row>
    <row r="218" spans="1:4" x14ac:dyDescent="0.25">
      <c r="A218" s="68" t="s">
        <v>698</v>
      </c>
      <c r="B218" s="64" t="s">
        <v>472</v>
      </c>
      <c r="C218" s="67" t="s">
        <v>426</v>
      </c>
      <c r="D218" s="69" t="s">
        <v>699</v>
      </c>
    </row>
    <row r="219" spans="1:4" x14ac:dyDescent="0.25">
      <c r="A219" s="68" t="s">
        <v>700</v>
      </c>
      <c r="B219" s="64" t="s">
        <v>472</v>
      </c>
      <c r="C219" s="67" t="s">
        <v>426</v>
      </c>
      <c r="D219" s="69" t="s">
        <v>701</v>
      </c>
    </row>
    <row r="220" spans="1:4" x14ac:dyDescent="0.25">
      <c r="A220" s="68" t="s">
        <v>702</v>
      </c>
      <c r="B220" s="64" t="s">
        <v>472</v>
      </c>
      <c r="C220" s="67" t="s">
        <v>426</v>
      </c>
      <c r="D220" s="69" t="s">
        <v>703</v>
      </c>
    </row>
    <row r="221" spans="1:4" x14ac:dyDescent="0.25">
      <c r="A221" s="68" t="s">
        <v>704</v>
      </c>
      <c r="B221" s="64" t="s">
        <v>472</v>
      </c>
      <c r="C221" s="67" t="s">
        <v>426</v>
      </c>
      <c r="D221" s="69" t="s">
        <v>705</v>
      </c>
    </row>
    <row r="222" spans="1:4" x14ac:dyDescent="0.25">
      <c r="A222" s="68" t="s">
        <v>706</v>
      </c>
      <c r="B222" s="64" t="s">
        <v>472</v>
      </c>
      <c r="C222" s="67" t="s">
        <v>426</v>
      </c>
      <c r="D222" s="69" t="s">
        <v>707</v>
      </c>
    </row>
    <row r="223" spans="1:4" x14ac:dyDescent="0.25">
      <c r="A223" s="68" t="s">
        <v>708</v>
      </c>
      <c r="B223" s="64" t="s">
        <v>472</v>
      </c>
      <c r="C223" s="67" t="s">
        <v>426</v>
      </c>
      <c r="D223" s="69" t="s">
        <v>709</v>
      </c>
    </row>
    <row r="224" spans="1:4" x14ac:dyDescent="0.25">
      <c r="A224" s="68" t="s">
        <v>710</v>
      </c>
      <c r="B224" s="64" t="s">
        <v>472</v>
      </c>
      <c r="C224" s="67" t="s">
        <v>426</v>
      </c>
      <c r="D224" s="69" t="s">
        <v>711</v>
      </c>
    </row>
    <row r="225" spans="1:4" x14ac:dyDescent="0.25">
      <c r="A225" s="68" t="s">
        <v>712</v>
      </c>
      <c r="B225" s="64" t="s">
        <v>472</v>
      </c>
      <c r="C225" s="67" t="s">
        <v>426</v>
      </c>
      <c r="D225" s="69" t="s">
        <v>713</v>
      </c>
    </row>
    <row r="226" spans="1:4" x14ac:dyDescent="0.25">
      <c r="A226" s="68" t="s">
        <v>714</v>
      </c>
      <c r="B226" s="64" t="s">
        <v>472</v>
      </c>
      <c r="C226" s="67" t="s">
        <v>426</v>
      </c>
      <c r="D226" s="69" t="s">
        <v>715</v>
      </c>
    </row>
    <row r="227" spans="1:4" x14ac:dyDescent="0.25">
      <c r="A227" s="68" t="s">
        <v>716</v>
      </c>
      <c r="B227" s="64" t="s">
        <v>472</v>
      </c>
      <c r="C227" s="67" t="s">
        <v>426</v>
      </c>
      <c r="D227" s="69" t="s">
        <v>717</v>
      </c>
    </row>
    <row r="228" spans="1:4" x14ac:dyDescent="0.25">
      <c r="A228" s="68" t="s">
        <v>718</v>
      </c>
      <c r="B228" s="64" t="s">
        <v>472</v>
      </c>
      <c r="C228" s="67" t="s">
        <v>426</v>
      </c>
      <c r="D228" s="69" t="s">
        <v>719</v>
      </c>
    </row>
    <row r="229" spans="1:4" x14ac:dyDescent="0.25">
      <c r="A229" s="68" t="s">
        <v>720</v>
      </c>
      <c r="B229" s="64" t="s">
        <v>472</v>
      </c>
      <c r="C229" s="67" t="s">
        <v>426</v>
      </c>
      <c r="D229" s="69" t="s">
        <v>721</v>
      </c>
    </row>
    <row r="230" spans="1:4" x14ac:dyDescent="0.25">
      <c r="A230" s="68" t="s">
        <v>722</v>
      </c>
      <c r="B230" s="64" t="s">
        <v>472</v>
      </c>
      <c r="C230" s="67" t="s">
        <v>426</v>
      </c>
      <c r="D230" s="69" t="s">
        <v>723</v>
      </c>
    </row>
    <row r="231" spans="1:4" x14ac:dyDescent="0.25">
      <c r="A231" s="68" t="s">
        <v>724</v>
      </c>
      <c r="B231" s="64" t="s">
        <v>472</v>
      </c>
      <c r="C231" s="67" t="s">
        <v>426</v>
      </c>
      <c r="D231" s="69" t="s">
        <v>725</v>
      </c>
    </row>
    <row r="232" spans="1:4" x14ac:dyDescent="0.25">
      <c r="A232" s="68" t="s">
        <v>726</v>
      </c>
      <c r="B232" s="64" t="s">
        <v>472</v>
      </c>
      <c r="C232" s="67" t="s">
        <v>426</v>
      </c>
      <c r="D232" s="69" t="s">
        <v>727</v>
      </c>
    </row>
    <row r="233" spans="1:4" x14ac:dyDescent="0.25">
      <c r="A233" s="68" t="s">
        <v>728</v>
      </c>
      <c r="B233" s="64" t="s">
        <v>472</v>
      </c>
      <c r="C233" s="67" t="s">
        <v>426</v>
      </c>
      <c r="D233" s="69" t="s">
        <v>729</v>
      </c>
    </row>
    <row r="234" spans="1:4" x14ac:dyDescent="0.25">
      <c r="A234" s="68" t="s">
        <v>730</v>
      </c>
      <c r="B234" s="64" t="s">
        <v>472</v>
      </c>
      <c r="C234" s="67" t="s">
        <v>426</v>
      </c>
      <c r="D234" s="69" t="s">
        <v>731</v>
      </c>
    </row>
    <row r="235" spans="1:4" x14ac:dyDescent="0.25">
      <c r="A235" s="68" t="s">
        <v>732</v>
      </c>
      <c r="B235" s="64" t="s">
        <v>472</v>
      </c>
      <c r="C235" s="67" t="s">
        <v>426</v>
      </c>
      <c r="D235" s="69" t="s">
        <v>733</v>
      </c>
    </row>
    <row r="236" spans="1:4" x14ac:dyDescent="0.25">
      <c r="A236" s="66" t="s">
        <v>272</v>
      </c>
      <c r="B236" s="64" t="s">
        <v>472</v>
      </c>
      <c r="C236" s="67" t="s">
        <v>734</v>
      </c>
      <c r="D236" s="67"/>
    </row>
    <row r="237" spans="1:4" x14ac:dyDescent="0.25">
      <c r="A237" s="68" t="s">
        <v>735</v>
      </c>
      <c r="B237" s="64" t="s">
        <v>472</v>
      </c>
      <c r="C237" s="67" t="s">
        <v>734</v>
      </c>
      <c r="D237" s="69" t="s">
        <v>736</v>
      </c>
    </row>
    <row r="238" spans="1:4" x14ac:dyDescent="0.25">
      <c r="A238" s="68" t="s">
        <v>737</v>
      </c>
      <c r="B238" s="64" t="s">
        <v>472</v>
      </c>
      <c r="C238" s="67" t="s">
        <v>734</v>
      </c>
      <c r="D238" s="69" t="s">
        <v>738</v>
      </c>
    </row>
    <row r="239" spans="1:4" x14ac:dyDescent="0.25">
      <c r="A239" s="68" t="s">
        <v>739</v>
      </c>
      <c r="B239" s="64" t="s">
        <v>472</v>
      </c>
      <c r="C239" s="67" t="s">
        <v>734</v>
      </c>
      <c r="D239" s="69" t="s">
        <v>740</v>
      </c>
    </row>
    <row r="240" spans="1:4" x14ac:dyDescent="0.25">
      <c r="A240" s="68" t="s">
        <v>741</v>
      </c>
      <c r="B240" s="64" t="s">
        <v>472</v>
      </c>
      <c r="C240" s="67" t="s">
        <v>734</v>
      </c>
      <c r="D240" s="69" t="s">
        <v>742</v>
      </c>
    </row>
    <row r="241" spans="1:4" x14ac:dyDescent="0.25">
      <c r="A241" s="68" t="s">
        <v>743</v>
      </c>
      <c r="B241" s="64" t="s">
        <v>472</v>
      </c>
      <c r="C241" s="67" t="s">
        <v>734</v>
      </c>
      <c r="D241" s="69" t="s">
        <v>744</v>
      </c>
    </row>
    <row r="242" spans="1:4" x14ac:dyDescent="0.25">
      <c r="A242" s="68" t="s">
        <v>745</v>
      </c>
      <c r="B242" s="64" t="s">
        <v>472</v>
      </c>
      <c r="C242" s="67" t="s">
        <v>734</v>
      </c>
      <c r="D242" s="69" t="s">
        <v>746</v>
      </c>
    </row>
    <row r="243" spans="1:4" x14ac:dyDescent="0.25">
      <c r="A243" s="68" t="s">
        <v>747</v>
      </c>
      <c r="B243" s="64" t="s">
        <v>472</v>
      </c>
      <c r="C243" s="67" t="s">
        <v>734</v>
      </c>
      <c r="D243" s="69" t="s">
        <v>748</v>
      </c>
    </row>
    <row r="244" spans="1:4" x14ac:dyDescent="0.25">
      <c r="A244" s="68" t="s">
        <v>749</v>
      </c>
      <c r="B244" s="64" t="s">
        <v>472</v>
      </c>
      <c r="C244" s="67" t="s">
        <v>734</v>
      </c>
      <c r="D244" s="69" t="s">
        <v>750</v>
      </c>
    </row>
    <row r="245" spans="1:4" x14ac:dyDescent="0.25">
      <c r="A245" s="68" t="s">
        <v>751</v>
      </c>
      <c r="B245" s="64" t="s">
        <v>472</v>
      </c>
      <c r="C245" s="67" t="s">
        <v>734</v>
      </c>
      <c r="D245" s="69" t="s">
        <v>752</v>
      </c>
    </row>
    <row r="246" spans="1:4" x14ac:dyDescent="0.25">
      <c r="A246" s="66" t="s">
        <v>273</v>
      </c>
      <c r="B246" s="64" t="s">
        <v>472</v>
      </c>
      <c r="C246" s="67" t="s">
        <v>753</v>
      </c>
      <c r="D246" s="67"/>
    </row>
    <row r="247" spans="1:4" x14ac:dyDescent="0.25">
      <c r="A247" s="68" t="s">
        <v>754</v>
      </c>
      <c r="B247" s="64" t="s">
        <v>472</v>
      </c>
      <c r="C247" s="67" t="s">
        <v>753</v>
      </c>
      <c r="D247" s="69" t="s">
        <v>755</v>
      </c>
    </row>
    <row r="248" spans="1:4" x14ac:dyDescent="0.25">
      <c r="A248" s="68" t="s">
        <v>756</v>
      </c>
      <c r="B248" s="64" t="s">
        <v>472</v>
      </c>
      <c r="C248" s="67" t="s">
        <v>753</v>
      </c>
      <c r="D248" s="69" t="s">
        <v>757</v>
      </c>
    </row>
    <row r="249" spans="1:4" x14ac:dyDescent="0.25">
      <c r="A249" s="68" t="s">
        <v>758</v>
      </c>
      <c r="B249" s="64" t="s">
        <v>472</v>
      </c>
      <c r="C249" s="67" t="s">
        <v>753</v>
      </c>
      <c r="D249" s="69" t="s">
        <v>759</v>
      </c>
    </row>
    <row r="250" spans="1:4" x14ac:dyDescent="0.25">
      <c r="A250" s="68" t="s">
        <v>760</v>
      </c>
      <c r="B250" s="64" t="s">
        <v>472</v>
      </c>
      <c r="C250" s="67" t="s">
        <v>753</v>
      </c>
      <c r="D250" s="69" t="s">
        <v>761</v>
      </c>
    </row>
    <row r="251" spans="1:4" x14ac:dyDescent="0.25">
      <c r="A251" s="68" t="s">
        <v>762</v>
      </c>
      <c r="B251" s="64" t="s">
        <v>472</v>
      </c>
      <c r="C251" s="67" t="s">
        <v>753</v>
      </c>
      <c r="D251" s="69" t="s">
        <v>763</v>
      </c>
    </row>
    <row r="252" spans="1:4" x14ac:dyDescent="0.25">
      <c r="A252" s="68" t="s">
        <v>764</v>
      </c>
      <c r="B252" s="64" t="s">
        <v>472</v>
      </c>
      <c r="C252" s="67" t="s">
        <v>753</v>
      </c>
      <c r="D252" s="69" t="s">
        <v>765</v>
      </c>
    </row>
    <row r="253" spans="1:4" x14ac:dyDescent="0.25">
      <c r="A253" s="68" t="s">
        <v>766</v>
      </c>
      <c r="B253" s="64" t="s">
        <v>472</v>
      </c>
      <c r="C253" s="67" t="s">
        <v>753</v>
      </c>
      <c r="D253" s="69" t="s">
        <v>767</v>
      </c>
    </row>
    <row r="254" spans="1:4" x14ac:dyDescent="0.25">
      <c r="A254" s="68" t="s">
        <v>768</v>
      </c>
      <c r="B254" s="64" t="s">
        <v>472</v>
      </c>
      <c r="C254" s="67" t="s">
        <v>753</v>
      </c>
      <c r="D254" s="69" t="s">
        <v>769</v>
      </c>
    </row>
    <row r="255" spans="1:4" x14ac:dyDescent="0.25">
      <c r="A255" s="68" t="s">
        <v>770</v>
      </c>
      <c r="B255" s="64" t="s">
        <v>472</v>
      </c>
      <c r="C255" s="67" t="s">
        <v>753</v>
      </c>
      <c r="D255" s="69" t="s">
        <v>771</v>
      </c>
    </row>
    <row r="256" spans="1:4" x14ac:dyDescent="0.25">
      <c r="A256" s="68" t="s">
        <v>772</v>
      </c>
      <c r="B256" s="64" t="s">
        <v>472</v>
      </c>
      <c r="C256" s="67" t="s">
        <v>753</v>
      </c>
      <c r="D256" s="69" t="s">
        <v>773</v>
      </c>
    </row>
    <row r="257" spans="1:4" x14ac:dyDescent="0.25">
      <c r="A257" s="68" t="s">
        <v>774</v>
      </c>
      <c r="B257" s="64" t="s">
        <v>472</v>
      </c>
      <c r="C257" s="67" t="s">
        <v>753</v>
      </c>
      <c r="D257" s="69" t="s">
        <v>775</v>
      </c>
    </row>
    <row r="258" spans="1:4" x14ac:dyDescent="0.25">
      <c r="A258" s="68" t="s">
        <v>776</v>
      </c>
      <c r="B258" s="64" t="s">
        <v>472</v>
      </c>
      <c r="C258" s="67" t="s">
        <v>753</v>
      </c>
      <c r="D258" s="69" t="s">
        <v>777</v>
      </c>
    </row>
    <row r="259" spans="1:4" x14ac:dyDescent="0.25">
      <c r="A259" s="68" t="s">
        <v>778</v>
      </c>
      <c r="B259" s="64" t="s">
        <v>472</v>
      </c>
      <c r="C259" s="67" t="s">
        <v>753</v>
      </c>
      <c r="D259" s="69" t="s">
        <v>779</v>
      </c>
    </row>
    <row r="260" spans="1:4" x14ac:dyDescent="0.25">
      <c r="A260" s="68" t="s">
        <v>780</v>
      </c>
      <c r="B260" s="64" t="s">
        <v>472</v>
      </c>
      <c r="C260" s="67" t="s">
        <v>753</v>
      </c>
      <c r="D260" s="69" t="s">
        <v>753</v>
      </c>
    </row>
    <row r="261" spans="1:4" x14ac:dyDescent="0.25">
      <c r="A261" s="68" t="s">
        <v>781</v>
      </c>
      <c r="B261" s="64" t="s">
        <v>472</v>
      </c>
      <c r="C261" s="67" t="s">
        <v>753</v>
      </c>
      <c r="D261" s="69" t="s">
        <v>782</v>
      </c>
    </row>
    <row r="262" spans="1:4" x14ac:dyDescent="0.25">
      <c r="A262" s="68" t="s">
        <v>783</v>
      </c>
      <c r="B262" s="64" t="s">
        <v>472</v>
      </c>
      <c r="C262" s="67" t="s">
        <v>753</v>
      </c>
      <c r="D262" s="69" t="s">
        <v>784</v>
      </c>
    </row>
    <row r="263" spans="1:4" x14ac:dyDescent="0.25">
      <c r="A263" s="68" t="s">
        <v>785</v>
      </c>
      <c r="B263" s="64" t="s">
        <v>472</v>
      </c>
      <c r="C263" s="67" t="s">
        <v>753</v>
      </c>
      <c r="D263" s="69" t="s">
        <v>786</v>
      </c>
    </row>
    <row r="264" spans="1:4" x14ac:dyDescent="0.25">
      <c r="A264" s="68" t="s">
        <v>787</v>
      </c>
      <c r="B264" s="64" t="s">
        <v>472</v>
      </c>
      <c r="C264" s="67" t="s">
        <v>753</v>
      </c>
      <c r="D264" s="69" t="s">
        <v>788</v>
      </c>
    </row>
    <row r="265" spans="1:4" x14ac:dyDescent="0.25">
      <c r="A265" s="68" t="s">
        <v>789</v>
      </c>
      <c r="B265" s="64" t="s">
        <v>472</v>
      </c>
      <c r="C265" s="67" t="s">
        <v>753</v>
      </c>
      <c r="D265" s="69" t="s">
        <v>790</v>
      </c>
    </row>
    <row r="266" spans="1:4" x14ac:dyDescent="0.25">
      <c r="A266" s="68" t="s">
        <v>791</v>
      </c>
      <c r="B266" s="64" t="s">
        <v>472</v>
      </c>
      <c r="C266" s="67" t="s">
        <v>753</v>
      </c>
      <c r="D266" s="69" t="s">
        <v>792</v>
      </c>
    </row>
    <row r="267" spans="1:4" x14ac:dyDescent="0.25">
      <c r="A267" s="68" t="s">
        <v>793</v>
      </c>
      <c r="B267" s="64" t="s">
        <v>472</v>
      </c>
      <c r="C267" s="67" t="s">
        <v>753</v>
      </c>
      <c r="D267" s="69" t="s">
        <v>794</v>
      </c>
    </row>
    <row r="268" spans="1:4" x14ac:dyDescent="0.25">
      <c r="A268" s="68" t="s">
        <v>795</v>
      </c>
      <c r="B268" s="64" t="s">
        <v>472</v>
      </c>
      <c r="C268" s="67" t="s">
        <v>753</v>
      </c>
      <c r="D268" s="69" t="s">
        <v>796</v>
      </c>
    </row>
    <row r="269" spans="1:4" x14ac:dyDescent="0.25">
      <c r="A269" s="68" t="s">
        <v>797</v>
      </c>
      <c r="B269" s="64" t="s">
        <v>472</v>
      </c>
      <c r="C269" s="67" t="s">
        <v>753</v>
      </c>
      <c r="D269" s="69" t="s">
        <v>798</v>
      </c>
    </row>
    <row r="270" spans="1:4" x14ac:dyDescent="0.25">
      <c r="A270" s="68" t="s">
        <v>799</v>
      </c>
      <c r="B270" s="64" t="s">
        <v>472</v>
      </c>
      <c r="C270" s="67" t="s">
        <v>753</v>
      </c>
      <c r="D270" s="69" t="s">
        <v>800</v>
      </c>
    </row>
    <row r="271" spans="1:4" x14ac:dyDescent="0.25">
      <c r="A271" s="68" t="s">
        <v>801</v>
      </c>
      <c r="B271" s="64" t="s">
        <v>472</v>
      </c>
      <c r="C271" s="67" t="s">
        <v>753</v>
      </c>
      <c r="D271" s="69" t="s">
        <v>802</v>
      </c>
    </row>
    <row r="272" spans="1:4" x14ac:dyDescent="0.25">
      <c r="A272" s="68" t="s">
        <v>803</v>
      </c>
      <c r="B272" s="64" t="s">
        <v>472</v>
      </c>
      <c r="C272" s="67" t="s">
        <v>753</v>
      </c>
      <c r="D272" s="69" t="s">
        <v>804</v>
      </c>
    </row>
    <row r="273" spans="1:4" x14ac:dyDescent="0.25">
      <c r="A273" s="68" t="s">
        <v>805</v>
      </c>
      <c r="B273" s="64" t="s">
        <v>472</v>
      </c>
      <c r="C273" s="67" t="s">
        <v>753</v>
      </c>
      <c r="D273" s="69" t="s">
        <v>806</v>
      </c>
    </row>
    <row r="274" spans="1:4" x14ac:dyDescent="0.25">
      <c r="A274" s="68" t="s">
        <v>807</v>
      </c>
      <c r="B274" s="64" t="s">
        <v>472</v>
      </c>
      <c r="C274" s="67" t="s">
        <v>753</v>
      </c>
      <c r="D274" s="69" t="s">
        <v>808</v>
      </c>
    </row>
    <row r="275" spans="1:4" x14ac:dyDescent="0.25">
      <c r="A275" s="68" t="s">
        <v>809</v>
      </c>
      <c r="B275" s="64" t="s">
        <v>472</v>
      </c>
      <c r="C275" s="67" t="s">
        <v>753</v>
      </c>
      <c r="D275" s="69" t="s">
        <v>810</v>
      </c>
    </row>
    <row r="276" spans="1:4" x14ac:dyDescent="0.25">
      <c r="A276" s="66" t="s">
        <v>274</v>
      </c>
      <c r="B276" s="64" t="s">
        <v>472</v>
      </c>
      <c r="C276" s="67" t="s">
        <v>811</v>
      </c>
      <c r="D276" s="67"/>
    </row>
    <row r="277" spans="1:4" x14ac:dyDescent="0.25">
      <c r="A277" s="68" t="s">
        <v>812</v>
      </c>
      <c r="B277" s="64" t="s">
        <v>472</v>
      </c>
      <c r="C277" s="67" t="s">
        <v>811</v>
      </c>
      <c r="D277" s="69" t="s">
        <v>813</v>
      </c>
    </row>
    <row r="278" spans="1:4" x14ac:dyDescent="0.25">
      <c r="A278" s="68" t="s">
        <v>814</v>
      </c>
      <c r="B278" s="64" t="s">
        <v>472</v>
      </c>
      <c r="C278" s="67" t="s">
        <v>811</v>
      </c>
      <c r="D278" s="69" t="s">
        <v>815</v>
      </c>
    </row>
    <row r="279" spans="1:4" x14ac:dyDescent="0.25">
      <c r="A279" s="66" t="s">
        <v>275</v>
      </c>
      <c r="B279" s="64" t="s">
        <v>472</v>
      </c>
      <c r="C279" s="67" t="s">
        <v>816</v>
      </c>
      <c r="D279" s="67"/>
    </row>
    <row r="280" spans="1:4" x14ac:dyDescent="0.25">
      <c r="A280" s="68" t="s">
        <v>817</v>
      </c>
      <c r="B280" s="64" t="s">
        <v>472</v>
      </c>
      <c r="C280" s="67" t="s">
        <v>816</v>
      </c>
      <c r="D280" s="69" t="s">
        <v>818</v>
      </c>
    </row>
    <row r="281" spans="1:4" x14ac:dyDescent="0.25">
      <c r="A281" s="68" t="s">
        <v>819</v>
      </c>
      <c r="B281" s="64" t="s">
        <v>472</v>
      </c>
      <c r="C281" s="67" t="s">
        <v>816</v>
      </c>
      <c r="D281" s="69" t="s">
        <v>820</v>
      </c>
    </row>
    <row r="282" spans="1:4" x14ac:dyDescent="0.25">
      <c r="A282" s="68" t="s">
        <v>821</v>
      </c>
      <c r="B282" s="64" t="s">
        <v>472</v>
      </c>
      <c r="C282" s="67" t="s">
        <v>816</v>
      </c>
      <c r="D282" s="69" t="s">
        <v>822</v>
      </c>
    </row>
    <row r="283" spans="1:4" x14ac:dyDescent="0.25">
      <c r="A283" s="68" t="s">
        <v>823</v>
      </c>
      <c r="B283" s="64" t="s">
        <v>472</v>
      </c>
      <c r="C283" s="67" t="s">
        <v>816</v>
      </c>
      <c r="D283" s="69" t="s">
        <v>824</v>
      </c>
    </row>
    <row r="284" spans="1:4" x14ac:dyDescent="0.25">
      <c r="A284" s="68" t="s">
        <v>825</v>
      </c>
      <c r="B284" s="64" t="s">
        <v>472</v>
      </c>
      <c r="C284" s="67" t="s">
        <v>816</v>
      </c>
      <c r="D284" s="69" t="s">
        <v>826</v>
      </c>
    </row>
    <row r="285" spans="1:4" x14ac:dyDescent="0.25">
      <c r="A285" s="68" t="s">
        <v>827</v>
      </c>
      <c r="B285" s="64" t="s">
        <v>472</v>
      </c>
      <c r="C285" s="67" t="s">
        <v>816</v>
      </c>
      <c r="D285" s="69" t="s">
        <v>828</v>
      </c>
    </row>
    <row r="286" spans="1:4" x14ac:dyDescent="0.25">
      <c r="A286" s="68" t="s">
        <v>829</v>
      </c>
      <c r="B286" s="64" t="s">
        <v>472</v>
      </c>
      <c r="C286" s="67" t="s">
        <v>816</v>
      </c>
      <c r="D286" s="69" t="s">
        <v>830</v>
      </c>
    </row>
    <row r="287" spans="1:4" x14ac:dyDescent="0.25">
      <c r="A287" s="68" t="s">
        <v>831</v>
      </c>
      <c r="B287" s="64" t="s">
        <v>472</v>
      </c>
      <c r="C287" s="67" t="s">
        <v>816</v>
      </c>
      <c r="D287" s="69" t="s">
        <v>832</v>
      </c>
    </row>
    <row r="288" spans="1:4" x14ac:dyDescent="0.25">
      <c r="A288" s="68" t="s">
        <v>833</v>
      </c>
      <c r="B288" s="64" t="s">
        <v>472</v>
      </c>
      <c r="C288" s="67" t="s">
        <v>816</v>
      </c>
      <c r="D288" s="69" t="s">
        <v>834</v>
      </c>
    </row>
    <row r="289" spans="1:4" x14ac:dyDescent="0.25">
      <c r="A289" s="68" t="s">
        <v>835</v>
      </c>
      <c r="B289" s="64" t="s">
        <v>472</v>
      </c>
      <c r="C289" s="67" t="s">
        <v>816</v>
      </c>
      <c r="D289" s="69" t="s">
        <v>836</v>
      </c>
    </row>
    <row r="290" spans="1:4" x14ac:dyDescent="0.25">
      <c r="A290" s="68" t="s">
        <v>837</v>
      </c>
      <c r="B290" s="64" t="s">
        <v>472</v>
      </c>
      <c r="C290" s="67" t="s">
        <v>816</v>
      </c>
      <c r="D290" s="69" t="s">
        <v>838</v>
      </c>
    </row>
    <row r="291" spans="1:4" x14ac:dyDescent="0.25">
      <c r="A291" s="68" t="s">
        <v>839</v>
      </c>
      <c r="B291" s="64" t="s">
        <v>472</v>
      </c>
      <c r="C291" s="67" t="s">
        <v>816</v>
      </c>
      <c r="D291" s="69" t="s">
        <v>840</v>
      </c>
    </row>
    <row r="292" spans="1:4" x14ac:dyDescent="0.25">
      <c r="A292" s="68" t="s">
        <v>841</v>
      </c>
      <c r="B292" s="64" t="s">
        <v>472</v>
      </c>
      <c r="C292" s="67" t="s">
        <v>816</v>
      </c>
      <c r="D292" s="69" t="s">
        <v>842</v>
      </c>
    </row>
    <row r="293" spans="1:4" x14ac:dyDescent="0.25">
      <c r="A293" s="68" t="s">
        <v>843</v>
      </c>
      <c r="B293" s="64" t="s">
        <v>472</v>
      </c>
      <c r="C293" s="67" t="s">
        <v>816</v>
      </c>
      <c r="D293" s="69" t="s">
        <v>844</v>
      </c>
    </row>
    <row r="294" spans="1:4" x14ac:dyDescent="0.25">
      <c r="A294" s="68" t="s">
        <v>845</v>
      </c>
      <c r="B294" s="64" t="s">
        <v>472</v>
      </c>
      <c r="C294" s="67" t="s">
        <v>816</v>
      </c>
      <c r="D294" s="69" t="s">
        <v>846</v>
      </c>
    </row>
    <row r="295" spans="1:4" x14ac:dyDescent="0.25">
      <c r="A295" s="68" t="s">
        <v>847</v>
      </c>
      <c r="B295" s="64" t="s">
        <v>472</v>
      </c>
      <c r="C295" s="67" t="s">
        <v>816</v>
      </c>
      <c r="D295" s="69" t="s">
        <v>848</v>
      </c>
    </row>
    <row r="296" spans="1:4" x14ac:dyDescent="0.25">
      <c r="A296" s="68" t="s">
        <v>849</v>
      </c>
      <c r="B296" s="64" t="s">
        <v>472</v>
      </c>
      <c r="C296" s="67" t="s">
        <v>816</v>
      </c>
      <c r="D296" s="69" t="s">
        <v>850</v>
      </c>
    </row>
    <row r="297" spans="1:4" x14ac:dyDescent="0.25">
      <c r="A297" s="68" t="s">
        <v>851</v>
      </c>
      <c r="B297" s="64" t="s">
        <v>472</v>
      </c>
      <c r="C297" s="67" t="s">
        <v>816</v>
      </c>
      <c r="D297" s="69" t="s">
        <v>852</v>
      </c>
    </row>
    <row r="298" spans="1:4" x14ac:dyDescent="0.25">
      <c r="A298" s="68" t="s">
        <v>853</v>
      </c>
      <c r="B298" s="64" t="s">
        <v>472</v>
      </c>
      <c r="C298" s="67" t="s">
        <v>816</v>
      </c>
      <c r="D298" s="69" t="s">
        <v>854</v>
      </c>
    </row>
    <row r="299" spans="1:4" x14ac:dyDescent="0.25">
      <c r="A299" s="68" t="s">
        <v>855</v>
      </c>
      <c r="B299" s="64" t="s">
        <v>472</v>
      </c>
      <c r="C299" s="67" t="s">
        <v>816</v>
      </c>
      <c r="D299" s="69" t="s">
        <v>856</v>
      </c>
    </row>
    <row r="300" spans="1:4" x14ac:dyDescent="0.25">
      <c r="A300" s="66" t="s">
        <v>276</v>
      </c>
      <c r="B300" s="64" t="s">
        <v>472</v>
      </c>
      <c r="C300" s="67" t="s">
        <v>445</v>
      </c>
      <c r="D300" s="67"/>
    </row>
    <row r="301" spans="1:4" x14ac:dyDescent="0.25">
      <c r="A301" s="68" t="s">
        <v>857</v>
      </c>
      <c r="B301" s="64" t="s">
        <v>472</v>
      </c>
      <c r="C301" s="67" t="s">
        <v>445</v>
      </c>
      <c r="D301" s="69" t="s">
        <v>858</v>
      </c>
    </row>
    <row r="302" spans="1:4" x14ac:dyDescent="0.25">
      <c r="A302" s="68" t="s">
        <v>859</v>
      </c>
      <c r="B302" s="64" t="s">
        <v>472</v>
      </c>
      <c r="C302" s="67" t="s">
        <v>445</v>
      </c>
      <c r="D302" s="69" t="s">
        <v>860</v>
      </c>
    </row>
    <row r="303" spans="1:4" x14ac:dyDescent="0.25">
      <c r="A303" s="68" t="s">
        <v>861</v>
      </c>
      <c r="B303" s="64" t="s">
        <v>472</v>
      </c>
      <c r="C303" s="67" t="s">
        <v>445</v>
      </c>
      <c r="D303" s="69" t="s">
        <v>862</v>
      </c>
    </row>
    <row r="304" spans="1:4" x14ac:dyDescent="0.25">
      <c r="A304" s="68" t="s">
        <v>863</v>
      </c>
      <c r="B304" s="64" t="s">
        <v>472</v>
      </c>
      <c r="C304" s="67" t="s">
        <v>445</v>
      </c>
      <c r="D304" s="69" t="s">
        <v>864</v>
      </c>
    </row>
    <row r="305" spans="1:4" x14ac:dyDescent="0.25">
      <c r="A305" s="68" t="s">
        <v>865</v>
      </c>
      <c r="B305" s="64" t="s">
        <v>472</v>
      </c>
      <c r="C305" s="67" t="s">
        <v>445</v>
      </c>
      <c r="D305" s="69" t="s">
        <v>866</v>
      </c>
    </row>
    <row r="306" spans="1:4" x14ac:dyDescent="0.25">
      <c r="A306" s="68" t="s">
        <v>867</v>
      </c>
      <c r="B306" s="64" t="s">
        <v>472</v>
      </c>
      <c r="C306" s="67" t="s">
        <v>445</v>
      </c>
      <c r="D306" s="69" t="s">
        <v>868</v>
      </c>
    </row>
    <row r="307" spans="1:4" x14ac:dyDescent="0.25">
      <c r="A307" s="66" t="s">
        <v>277</v>
      </c>
      <c r="B307" s="64" t="s">
        <v>472</v>
      </c>
      <c r="C307" s="67" t="s">
        <v>869</v>
      </c>
      <c r="D307" s="67"/>
    </row>
    <row r="308" spans="1:4" x14ac:dyDescent="0.25">
      <c r="A308" s="68" t="s">
        <v>870</v>
      </c>
      <c r="B308" s="64" t="s">
        <v>472</v>
      </c>
      <c r="C308" s="67" t="s">
        <v>869</v>
      </c>
      <c r="D308" s="69" t="s">
        <v>871</v>
      </c>
    </row>
    <row r="309" spans="1:4" x14ac:dyDescent="0.25">
      <c r="A309" s="68" t="s">
        <v>872</v>
      </c>
      <c r="B309" s="64" t="s">
        <v>472</v>
      </c>
      <c r="C309" s="67" t="s">
        <v>869</v>
      </c>
      <c r="D309" s="69" t="s">
        <v>873</v>
      </c>
    </row>
    <row r="310" spans="1:4" x14ac:dyDescent="0.25">
      <c r="A310" s="68" t="s">
        <v>874</v>
      </c>
      <c r="B310" s="64" t="s">
        <v>472</v>
      </c>
      <c r="C310" s="67" t="s">
        <v>869</v>
      </c>
      <c r="D310" s="69" t="s">
        <v>875</v>
      </c>
    </row>
    <row r="311" spans="1:4" x14ac:dyDescent="0.25">
      <c r="A311" s="63" t="s">
        <v>876</v>
      </c>
      <c r="B311" s="64" t="s">
        <v>877</v>
      </c>
      <c r="C311" s="64"/>
      <c r="D311" s="64"/>
    </row>
    <row r="312" spans="1:4" x14ac:dyDescent="0.25">
      <c r="A312" s="66" t="s">
        <v>278</v>
      </c>
      <c r="B312" s="64" t="s">
        <v>877</v>
      </c>
      <c r="C312" s="67" t="s">
        <v>878</v>
      </c>
      <c r="D312" s="67"/>
    </row>
    <row r="313" spans="1:4" x14ac:dyDescent="0.25">
      <c r="A313" s="68" t="s">
        <v>879</v>
      </c>
      <c r="B313" s="64" t="s">
        <v>877</v>
      </c>
      <c r="C313" s="67" t="s">
        <v>878</v>
      </c>
      <c r="D313" s="69" t="s">
        <v>880</v>
      </c>
    </row>
    <row r="314" spans="1:4" x14ac:dyDescent="0.25">
      <c r="A314" s="68" t="s">
        <v>881</v>
      </c>
      <c r="B314" s="64" t="s">
        <v>877</v>
      </c>
      <c r="C314" s="67" t="s">
        <v>878</v>
      </c>
      <c r="D314" s="69" t="s">
        <v>882</v>
      </c>
    </row>
    <row r="315" spans="1:4" x14ac:dyDescent="0.25">
      <c r="A315" s="68" t="s">
        <v>883</v>
      </c>
      <c r="B315" s="64" t="s">
        <v>877</v>
      </c>
      <c r="C315" s="67" t="s">
        <v>878</v>
      </c>
      <c r="D315" s="69" t="s">
        <v>884</v>
      </c>
    </row>
    <row r="316" spans="1:4" x14ac:dyDescent="0.25">
      <c r="A316" s="68" t="s">
        <v>885</v>
      </c>
      <c r="B316" s="64" t="s">
        <v>877</v>
      </c>
      <c r="C316" s="67" t="s">
        <v>878</v>
      </c>
      <c r="D316" s="69" t="s">
        <v>886</v>
      </c>
    </row>
    <row r="317" spans="1:4" x14ac:dyDescent="0.25">
      <c r="A317" s="66" t="s">
        <v>279</v>
      </c>
      <c r="B317" s="64" t="s">
        <v>877</v>
      </c>
      <c r="C317" s="67" t="s">
        <v>887</v>
      </c>
      <c r="D317" s="67"/>
    </row>
    <row r="318" spans="1:4" x14ac:dyDescent="0.25">
      <c r="A318" s="68" t="s">
        <v>888</v>
      </c>
      <c r="B318" s="64" t="s">
        <v>877</v>
      </c>
      <c r="C318" s="67" t="s">
        <v>887</v>
      </c>
      <c r="D318" s="69" t="s">
        <v>889</v>
      </c>
    </row>
    <row r="319" spans="1:4" x14ac:dyDescent="0.25">
      <c r="A319" s="68" t="s">
        <v>890</v>
      </c>
      <c r="B319" s="64" t="s">
        <v>877</v>
      </c>
      <c r="C319" s="67" t="s">
        <v>887</v>
      </c>
      <c r="D319" s="69" t="s">
        <v>891</v>
      </c>
    </row>
    <row r="320" spans="1:4" x14ac:dyDescent="0.25">
      <c r="A320" s="68" t="s">
        <v>892</v>
      </c>
      <c r="B320" s="64" t="s">
        <v>877</v>
      </c>
      <c r="C320" s="67" t="s">
        <v>887</v>
      </c>
      <c r="D320" s="69" t="s">
        <v>893</v>
      </c>
    </row>
    <row r="321" spans="1:4" x14ac:dyDescent="0.25">
      <c r="A321" s="68" t="s">
        <v>894</v>
      </c>
      <c r="B321" s="64" t="s">
        <v>877</v>
      </c>
      <c r="C321" s="67" t="s">
        <v>887</v>
      </c>
      <c r="D321" s="69" t="s">
        <v>895</v>
      </c>
    </row>
    <row r="322" spans="1:4" x14ac:dyDescent="0.25">
      <c r="A322" s="68" t="s">
        <v>896</v>
      </c>
      <c r="B322" s="64" t="s">
        <v>877</v>
      </c>
      <c r="C322" s="67" t="s">
        <v>887</v>
      </c>
      <c r="D322" s="69" t="s">
        <v>897</v>
      </c>
    </row>
    <row r="323" spans="1:4" x14ac:dyDescent="0.25">
      <c r="A323" s="68" t="s">
        <v>898</v>
      </c>
      <c r="B323" s="64" t="s">
        <v>877</v>
      </c>
      <c r="C323" s="67" t="s">
        <v>887</v>
      </c>
      <c r="D323" s="69" t="s">
        <v>899</v>
      </c>
    </row>
    <row r="324" spans="1:4" x14ac:dyDescent="0.25">
      <c r="A324" s="66" t="s">
        <v>280</v>
      </c>
      <c r="B324" s="64" t="s">
        <v>877</v>
      </c>
      <c r="C324" s="67" t="s">
        <v>900</v>
      </c>
      <c r="D324" s="67"/>
    </row>
    <row r="325" spans="1:4" x14ac:dyDescent="0.25">
      <c r="A325" s="68" t="s">
        <v>901</v>
      </c>
      <c r="B325" s="64" t="s">
        <v>877</v>
      </c>
      <c r="C325" s="67" t="s">
        <v>900</v>
      </c>
      <c r="D325" s="69" t="s">
        <v>902</v>
      </c>
    </row>
    <row r="326" spans="1:4" x14ac:dyDescent="0.25">
      <c r="A326" s="68" t="s">
        <v>903</v>
      </c>
      <c r="B326" s="64" t="s">
        <v>877</v>
      </c>
      <c r="C326" s="67" t="s">
        <v>900</v>
      </c>
      <c r="D326" s="69" t="s">
        <v>904</v>
      </c>
    </row>
    <row r="327" spans="1:4" x14ac:dyDescent="0.25">
      <c r="A327" s="68" t="s">
        <v>905</v>
      </c>
      <c r="B327" s="64" t="s">
        <v>877</v>
      </c>
      <c r="C327" s="67" t="s">
        <v>900</v>
      </c>
      <c r="D327" s="69" t="s">
        <v>906</v>
      </c>
    </row>
    <row r="328" spans="1:4" x14ac:dyDescent="0.25">
      <c r="A328" s="68" t="s">
        <v>907</v>
      </c>
      <c r="B328" s="64" t="s">
        <v>877</v>
      </c>
      <c r="C328" s="67" t="s">
        <v>900</v>
      </c>
      <c r="D328" s="69" t="s">
        <v>908</v>
      </c>
    </row>
    <row r="329" spans="1:4" x14ac:dyDescent="0.25">
      <c r="A329" s="68" t="s">
        <v>909</v>
      </c>
      <c r="B329" s="64" t="s">
        <v>877</v>
      </c>
      <c r="C329" s="67" t="s">
        <v>900</v>
      </c>
      <c r="D329" s="69" t="s">
        <v>910</v>
      </c>
    </row>
    <row r="330" spans="1:4" x14ac:dyDescent="0.25">
      <c r="A330" s="68" t="s">
        <v>911</v>
      </c>
      <c r="B330" s="64" t="s">
        <v>877</v>
      </c>
      <c r="C330" s="67" t="s">
        <v>900</v>
      </c>
      <c r="D330" s="69" t="s">
        <v>912</v>
      </c>
    </row>
    <row r="331" spans="1:4" x14ac:dyDescent="0.25">
      <c r="A331" s="68" t="s">
        <v>913</v>
      </c>
      <c r="B331" s="64" t="s">
        <v>877</v>
      </c>
      <c r="C331" s="67" t="s">
        <v>900</v>
      </c>
      <c r="D331" s="69" t="s">
        <v>914</v>
      </c>
    </row>
    <row r="332" spans="1:4" x14ac:dyDescent="0.25">
      <c r="A332" s="66" t="s">
        <v>281</v>
      </c>
      <c r="B332" s="64" t="s">
        <v>877</v>
      </c>
      <c r="C332" s="67" t="s">
        <v>915</v>
      </c>
      <c r="D332" s="67"/>
    </row>
    <row r="333" spans="1:4" x14ac:dyDescent="0.25">
      <c r="A333" s="68" t="s">
        <v>916</v>
      </c>
      <c r="B333" s="64" t="s">
        <v>877</v>
      </c>
      <c r="C333" s="67" t="s">
        <v>915</v>
      </c>
      <c r="D333" s="69" t="s">
        <v>917</v>
      </c>
    </row>
    <row r="334" spans="1:4" x14ac:dyDescent="0.25">
      <c r="A334" s="68" t="s">
        <v>918</v>
      </c>
      <c r="B334" s="64" t="s">
        <v>877</v>
      </c>
      <c r="C334" s="67" t="s">
        <v>915</v>
      </c>
      <c r="D334" s="69" t="s">
        <v>919</v>
      </c>
    </row>
    <row r="335" spans="1:4" x14ac:dyDescent="0.25">
      <c r="A335" s="68" t="s">
        <v>920</v>
      </c>
      <c r="B335" s="64" t="s">
        <v>877</v>
      </c>
      <c r="C335" s="67" t="s">
        <v>915</v>
      </c>
      <c r="D335" s="69" t="s">
        <v>921</v>
      </c>
    </row>
    <row r="336" spans="1:4" x14ac:dyDescent="0.25">
      <c r="A336" s="68" t="s">
        <v>922</v>
      </c>
      <c r="B336" s="64" t="s">
        <v>877</v>
      </c>
      <c r="C336" s="67" t="s">
        <v>915</v>
      </c>
      <c r="D336" s="69" t="s">
        <v>923</v>
      </c>
    </row>
    <row r="337" spans="1:4" x14ac:dyDescent="0.25">
      <c r="A337" s="68" t="s">
        <v>924</v>
      </c>
      <c r="B337" s="64" t="s">
        <v>877</v>
      </c>
      <c r="C337" s="67" t="s">
        <v>915</v>
      </c>
      <c r="D337" s="69" t="s">
        <v>925</v>
      </c>
    </row>
    <row r="338" spans="1:4" x14ac:dyDescent="0.25">
      <c r="A338" s="68" t="s">
        <v>926</v>
      </c>
      <c r="B338" s="64" t="s">
        <v>877</v>
      </c>
      <c r="C338" s="67" t="s">
        <v>915</v>
      </c>
      <c r="D338" s="69" t="s">
        <v>927</v>
      </c>
    </row>
    <row r="339" spans="1:4" x14ac:dyDescent="0.25">
      <c r="A339" s="66" t="s">
        <v>282</v>
      </c>
      <c r="B339" s="64" t="s">
        <v>877</v>
      </c>
      <c r="C339" s="67" t="s">
        <v>928</v>
      </c>
      <c r="D339" s="67"/>
    </row>
    <row r="340" spans="1:4" x14ac:dyDescent="0.25">
      <c r="A340" s="68" t="s">
        <v>929</v>
      </c>
      <c r="B340" s="64" t="s">
        <v>877</v>
      </c>
      <c r="C340" s="67" t="s">
        <v>928</v>
      </c>
      <c r="D340" s="69" t="s">
        <v>930</v>
      </c>
    </row>
    <row r="341" spans="1:4" x14ac:dyDescent="0.25">
      <c r="A341" s="68" t="s">
        <v>931</v>
      </c>
      <c r="B341" s="64" t="s">
        <v>877</v>
      </c>
      <c r="C341" s="67" t="s">
        <v>928</v>
      </c>
      <c r="D341" s="69" t="s">
        <v>932</v>
      </c>
    </row>
    <row r="342" spans="1:4" x14ac:dyDescent="0.25">
      <c r="A342" s="68" t="s">
        <v>933</v>
      </c>
      <c r="B342" s="64" t="s">
        <v>877</v>
      </c>
      <c r="C342" s="67" t="s">
        <v>928</v>
      </c>
      <c r="D342" s="69" t="s">
        <v>934</v>
      </c>
    </row>
    <row r="343" spans="1:4" x14ac:dyDescent="0.25">
      <c r="A343" s="68" t="s">
        <v>935</v>
      </c>
      <c r="B343" s="64" t="s">
        <v>877</v>
      </c>
      <c r="C343" s="67" t="s">
        <v>928</v>
      </c>
      <c r="D343" s="69" t="s">
        <v>936</v>
      </c>
    </row>
    <row r="344" spans="1:4" x14ac:dyDescent="0.25">
      <c r="A344" s="68" t="s">
        <v>937</v>
      </c>
      <c r="B344" s="64" t="s">
        <v>877</v>
      </c>
      <c r="C344" s="67" t="s">
        <v>928</v>
      </c>
      <c r="D344" s="69" t="s">
        <v>938</v>
      </c>
    </row>
    <row r="345" spans="1:4" x14ac:dyDescent="0.25">
      <c r="A345" s="68" t="s">
        <v>939</v>
      </c>
      <c r="B345" s="64" t="s">
        <v>877</v>
      </c>
      <c r="C345" s="67" t="s">
        <v>928</v>
      </c>
      <c r="D345" s="69" t="s">
        <v>940</v>
      </c>
    </row>
    <row r="346" spans="1:4" x14ac:dyDescent="0.25">
      <c r="A346" s="68" t="s">
        <v>941</v>
      </c>
      <c r="B346" s="64" t="s">
        <v>877</v>
      </c>
      <c r="C346" s="67" t="s">
        <v>928</v>
      </c>
      <c r="D346" s="69" t="s">
        <v>942</v>
      </c>
    </row>
    <row r="347" spans="1:4" x14ac:dyDescent="0.25">
      <c r="A347" s="68" t="s">
        <v>943</v>
      </c>
      <c r="B347" s="64" t="s">
        <v>877</v>
      </c>
      <c r="C347" s="67" t="s">
        <v>928</v>
      </c>
      <c r="D347" s="69" t="s">
        <v>944</v>
      </c>
    </row>
    <row r="348" spans="1:4" x14ac:dyDescent="0.25">
      <c r="A348" s="68" t="s">
        <v>945</v>
      </c>
      <c r="B348" s="64" t="s">
        <v>877</v>
      </c>
      <c r="C348" s="67" t="s">
        <v>928</v>
      </c>
      <c r="D348" s="69" t="s">
        <v>946</v>
      </c>
    </row>
    <row r="349" spans="1:4" x14ac:dyDescent="0.25">
      <c r="A349" s="68" t="s">
        <v>947</v>
      </c>
      <c r="B349" s="64" t="s">
        <v>877</v>
      </c>
      <c r="C349" s="67" t="s">
        <v>928</v>
      </c>
      <c r="D349" s="69" t="s">
        <v>948</v>
      </c>
    </row>
    <row r="350" spans="1:4" x14ac:dyDescent="0.25">
      <c r="A350" s="68" t="s">
        <v>949</v>
      </c>
      <c r="B350" s="64" t="s">
        <v>877</v>
      </c>
      <c r="C350" s="67" t="s">
        <v>928</v>
      </c>
      <c r="D350" s="69" t="s">
        <v>950</v>
      </c>
    </row>
    <row r="351" spans="1:4" x14ac:dyDescent="0.25">
      <c r="A351" s="68" t="s">
        <v>951</v>
      </c>
      <c r="B351" s="64" t="s">
        <v>877</v>
      </c>
      <c r="C351" s="67" t="s">
        <v>928</v>
      </c>
      <c r="D351" s="69" t="s">
        <v>952</v>
      </c>
    </row>
    <row r="352" spans="1:4" x14ac:dyDescent="0.25">
      <c r="A352" s="68" t="s">
        <v>953</v>
      </c>
      <c r="B352" s="64" t="s">
        <v>877</v>
      </c>
      <c r="C352" s="67" t="s">
        <v>928</v>
      </c>
      <c r="D352" s="69" t="s">
        <v>954</v>
      </c>
    </row>
    <row r="353" spans="1:4" x14ac:dyDescent="0.25">
      <c r="A353" s="66" t="s">
        <v>955</v>
      </c>
      <c r="B353" s="64" t="s">
        <v>877</v>
      </c>
      <c r="C353" s="67" t="s">
        <v>956</v>
      </c>
      <c r="D353" s="67"/>
    </row>
    <row r="354" spans="1:4" x14ac:dyDescent="0.25">
      <c r="A354" s="68" t="s">
        <v>957</v>
      </c>
      <c r="B354" s="64" t="s">
        <v>877</v>
      </c>
      <c r="C354" s="67" t="s">
        <v>956</v>
      </c>
      <c r="D354" s="69" t="s">
        <v>958</v>
      </c>
    </row>
    <row r="355" spans="1:4" x14ac:dyDescent="0.25">
      <c r="A355" s="68" t="s">
        <v>959</v>
      </c>
      <c r="B355" s="64" t="s">
        <v>877</v>
      </c>
      <c r="C355" s="67" t="s">
        <v>956</v>
      </c>
      <c r="D355" s="69" t="s">
        <v>960</v>
      </c>
    </row>
    <row r="356" spans="1:4" x14ac:dyDescent="0.25">
      <c r="A356" s="68" t="s">
        <v>961</v>
      </c>
      <c r="B356" s="64" t="s">
        <v>877</v>
      </c>
      <c r="C356" s="67" t="s">
        <v>956</v>
      </c>
      <c r="D356" s="69" t="s">
        <v>962</v>
      </c>
    </row>
    <row r="357" spans="1:4" x14ac:dyDescent="0.25">
      <c r="A357" s="63" t="s">
        <v>963</v>
      </c>
      <c r="B357" s="64" t="s">
        <v>964</v>
      </c>
      <c r="C357" s="64"/>
      <c r="D357" s="64"/>
    </row>
    <row r="358" spans="1:4" x14ac:dyDescent="0.25">
      <c r="A358" s="66" t="s">
        <v>965</v>
      </c>
      <c r="B358" s="64" t="s">
        <v>964</v>
      </c>
      <c r="C358" s="67" t="s">
        <v>666</v>
      </c>
      <c r="D358" s="67"/>
    </row>
    <row r="359" spans="1:4" x14ac:dyDescent="0.25">
      <c r="A359" s="68" t="s">
        <v>966</v>
      </c>
      <c r="B359" s="64" t="s">
        <v>964</v>
      </c>
      <c r="C359" s="67" t="s">
        <v>666</v>
      </c>
      <c r="D359" s="69" t="s">
        <v>967</v>
      </c>
    </row>
    <row r="360" spans="1:4" x14ac:dyDescent="0.25">
      <c r="A360" s="68" t="s">
        <v>968</v>
      </c>
      <c r="B360" s="64" t="s">
        <v>964</v>
      </c>
      <c r="C360" s="67" t="s">
        <v>666</v>
      </c>
      <c r="D360" s="69" t="s">
        <v>969</v>
      </c>
    </row>
    <row r="361" spans="1:4" x14ac:dyDescent="0.25">
      <c r="A361" s="68" t="s">
        <v>970</v>
      </c>
      <c r="B361" s="64" t="s">
        <v>964</v>
      </c>
      <c r="C361" s="67" t="s">
        <v>666</v>
      </c>
      <c r="D361" s="69" t="s">
        <v>971</v>
      </c>
    </row>
    <row r="362" spans="1:4" x14ac:dyDescent="0.25">
      <c r="A362" s="68" t="s">
        <v>972</v>
      </c>
      <c r="B362" s="64" t="s">
        <v>964</v>
      </c>
      <c r="C362" s="67" t="s">
        <v>666</v>
      </c>
      <c r="D362" s="69" t="s">
        <v>973</v>
      </c>
    </row>
    <row r="363" spans="1:4" x14ac:dyDescent="0.25">
      <c r="A363" s="68" t="s">
        <v>974</v>
      </c>
      <c r="B363" s="64" t="s">
        <v>964</v>
      </c>
      <c r="C363" s="67" t="s">
        <v>666</v>
      </c>
      <c r="D363" s="69" t="s">
        <v>975</v>
      </c>
    </row>
    <row r="364" spans="1:4" x14ac:dyDescent="0.25">
      <c r="A364" s="68" t="s">
        <v>976</v>
      </c>
      <c r="B364" s="64" t="s">
        <v>964</v>
      </c>
      <c r="C364" s="67" t="s">
        <v>666</v>
      </c>
      <c r="D364" s="69" t="s">
        <v>977</v>
      </c>
    </row>
    <row r="365" spans="1:4" x14ac:dyDescent="0.25">
      <c r="A365" s="68" t="s">
        <v>978</v>
      </c>
      <c r="B365" s="64" t="s">
        <v>964</v>
      </c>
      <c r="C365" s="67" t="s">
        <v>666</v>
      </c>
      <c r="D365" s="69" t="s">
        <v>979</v>
      </c>
    </row>
    <row r="366" spans="1:4" x14ac:dyDescent="0.25">
      <c r="A366" s="66" t="s">
        <v>980</v>
      </c>
      <c r="B366" s="64" t="s">
        <v>964</v>
      </c>
      <c r="C366" s="67" t="s">
        <v>981</v>
      </c>
      <c r="D366" s="67"/>
    </row>
    <row r="367" spans="1:4" x14ac:dyDescent="0.25">
      <c r="A367" s="68" t="s">
        <v>982</v>
      </c>
      <c r="B367" s="64" t="s">
        <v>964</v>
      </c>
      <c r="C367" s="67" t="s">
        <v>981</v>
      </c>
      <c r="D367" s="69" t="s">
        <v>983</v>
      </c>
    </row>
    <row r="368" spans="1:4" x14ac:dyDescent="0.25">
      <c r="A368" s="68" t="s">
        <v>984</v>
      </c>
      <c r="B368" s="64" t="s">
        <v>964</v>
      </c>
      <c r="C368" s="67" t="s">
        <v>981</v>
      </c>
      <c r="D368" s="69" t="s">
        <v>985</v>
      </c>
    </row>
    <row r="369" spans="1:4" x14ac:dyDescent="0.25">
      <c r="A369" s="68" t="s">
        <v>986</v>
      </c>
      <c r="B369" s="64" t="s">
        <v>964</v>
      </c>
      <c r="C369" s="67" t="s">
        <v>981</v>
      </c>
      <c r="D369" s="69" t="s">
        <v>987</v>
      </c>
    </row>
    <row r="370" spans="1:4" x14ac:dyDescent="0.25">
      <c r="A370" s="66" t="s">
        <v>988</v>
      </c>
      <c r="B370" s="64" t="s">
        <v>964</v>
      </c>
      <c r="C370" s="67" t="s">
        <v>989</v>
      </c>
      <c r="D370" s="67"/>
    </row>
    <row r="371" spans="1:4" x14ac:dyDescent="0.25">
      <c r="A371" s="68" t="s">
        <v>990</v>
      </c>
      <c r="B371" s="64" t="s">
        <v>964</v>
      </c>
      <c r="C371" s="67" t="s">
        <v>989</v>
      </c>
      <c r="D371" s="69" t="s">
        <v>991</v>
      </c>
    </row>
    <row r="372" spans="1:4" x14ac:dyDescent="0.25">
      <c r="A372" s="68" t="s">
        <v>992</v>
      </c>
      <c r="B372" s="64" t="s">
        <v>964</v>
      </c>
      <c r="C372" s="67" t="s">
        <v>989</v>
      </c>
      <c r="D372" s="69" t="s">
        <v>993</v>
      </c>
    </row>
    <row r="373" spans="1:4" x14ac:dyDescent="0.25">
      <c r="A373" s="68" t="s">
        <v>994</v>
      </c>
      <c r="B373" s="64" t="s">
        <v>964</v>
      </c>
      <c r="C373" s="67" t="s">
        <v>989</v>
      </c>
      <c r="D373" s="69" t="s">
        <v>995</v>
      </c>
    </row>
    <row r="374" spans="1:4" x14ac:dyDescent="0.25">
      <c r="A374" s="68" t="s">
        <v>996</v>
      </c>
      <c r="B374" s="64" t="s">
        <v>964</v>
      </c>
      <c r="C374" s="67" t="s">
        <v>989</v>
      </c>
      <c r="D374" s="69" t="s">
        <v>997</v>
      </c>
    </row>
    <row r="375" spans="1:4" x14ac:dyDescent="0.25">
      <c r="A375" s="68" t="s">
        <v>998</v>
      </c>
      <c r="B375" s="64" t="s">
        <v>964</v>
      </c>
      <c r="C375" s="67" t="s">
        <v>989</v>
      </c>
      <c r="D375" s="69" t="s">
        <v>999</v>
      </c>
    </row>
    <row r="376" spans="1:4" x14ac:dyDescent="0.25">
      <c r="A376" s="68" t="s">
        <v>1000</v>
      </c>
      <c r="B376" s="64" t="s">
        <v>964</v>
      </c>
      <c r="C376" s="67" t="s">
        <v>989</v>
      </c>
      <c r="D376" s="69" t="s">
        <v>1001</v>
      </c>
    </row>
    <row r="377" spans="1:4" x14ac:dyDescent="0.25">
      <c r="A377" s="66" t="s">
        <v>1002</v>
      </c>
      <c r="B377" s="64" t="s">
        <v>964</v>
      </c>
      <c r="C377" s="67" t="s">
        <v>1003</v>
      </c>
      <c r="D377" s="67"/>
    </row>
    <row r="378" spans="1:4" x14ac:dyDescent="0.25">
      <c r="A378" s="68" t="s">
        <v>1004</v>
      </c>
      <c r="B378" s="64" t="s">
        <v>964</v>
      </c>
      <c r="C378" s="67" t="s">
        <v>1003</v>
      </c>
      <c r="D378" s="69" t="s">
        <v>1005</v>
      </c>
    </row>
    <row r="379" spans="1:4" x14ac:dyDescent="0.25">
      <c r="A379" s="68" t="s">
        <v>1006</v>
      </c>
      <c r="B379" s="64" t="s">
        <v>964</v>
      </c>
      <c r="C379" s="67" t="s">
        <v>1003</v>
      </c>
      <c r="D379" s="69" t="s">
        <v>1007</v>
      </c>
    </row>
    <row r="380" spans="1:4" x14ac:dyDescent="0.25">
      <c r="A380" s="68" t="s">
        <v>1008</v>
      </c>
      <c r="B380" s="64" t="s">
        <v>964</v>
      </c>
      <c r="C380" s="67" t="s">
        <v>1003</v>
      </c>
      <c r="D380" s="69" t="s">
        <v>1009</v>
      </c>
    </row>
    <row r="381" spans="1:4" x14ac:dyDescent="0.25">
      <c r="A381" s="68" t="s">
        <v>1010</v>
      </c>
      <c r="B381" s="64" t="s">
        <v>964</v>
      </c>
      <c r="C381" s="67" t="s">
        <v>1003</v>
      </c>
      <c r="D381" s="69" t="s">
        <v>1011</v>
      </c>
    </row>
    <row r="382" spans="1:4" x14ac:dyDescent="0.25">
      <c r="A382" s="68" t="s">
        <v>1012</v>
      </c>
      <c r="B382" s="64" t="s">
        <v>964</v>
      </c>
      <c r="C382" s="67" t="s">
        <v>1003</v>
      </c>
      <c r="D382" s="69" t="s">
        <v>1013</v>
      </c>
    </row>
    <row r="383" spans="1:4" x14ac:dyDescent="0.25">
      <c r="A383" s="68" t="s">
        <v>1014</v>
      </c>
      <c r="B383" s="64" t="s">
        <v>964</v>
      </c>
      <c r="C383" s="67" t="s">
        <v>1003</v>
      </c>
      <c r="D383" s="69" t="s">
        <v>1015</v>
      </c>
    </row>
    <row r="384" spans="1:4" x14ac:dyDescent="0.25">
      <c r="A384" s="68" t="s">
        <v>1016</v>
      </c>
      <c r="B384" s="64" t="s">
        <v>964</v>
      </c>
      <c r="C384" s="67" t="s">
        <v>1003</v>
      </c>
      <c r="D384" s="69" t="s">
        <v>1017</v>
      </c>
    </row>
    <row r="385" spans="1:4" x14ac:dyDescent="0.25">
      <c r="A385" s="66" t="s">
        <v>1018</v>
      </c>
      <c r="B385" s="64" t="s">
        <v>964</v>
      </c>
      <c r="C385" s="67" t="s">
        <v>1019</v>
      </c>
      <c r="D385" s="67"/>
    </row>
    <row r="386" spans="1:4" x14ac:dyDescent="0.25">
      <c r="A386" s="68" t="s">
        <v>1020</v>
      </c>
      <c r="B386" s="64" t="s">
        <v>964</v>
      </c>
      <c r="C386" s="67" t="s">
        <v>1019</v>
      </c>
      <c r="D386" s="69" t="s">
        <v>1021</v>
      </c>
    </row>
    <row r="387" spans="1:4" x14ac:dyDescent="0.25">
      <c r="A387" s="66" t="s">
        <v>1022</v>
      </c>
      <c r="B387" s="64" t="s">
        <v>964</v>
      </c>
      <c r="C387" s="67" t="s">
        <v>1023</v>
      </c>
      <c r="D387" s="67"/>
    </row>
    <row r="388" spans="1:4" x14ac:dyDescent="0.25">
      <c r="A388" s="68" t="s">
        <v>1024</v>
      </c>
      <c r="B388" s="64" t="s">
        <v>964</v>
      </c>
      <c r="C388" s="67" t="s">
        <v>1023</v>
      </c>
      <c r="D388" s="69" t="s">
        <v>1025</v>
      </c>
    </row>
    <row r="389" spans="1:4" x14ac:dyDescent="0.25">
      <c r="A389" s="68" t="s">
        <v>1026</v>
      </c>
      <c r="B389" s="64" t="s">
        <v>964</v>
      </c>
      <c r="C389" s="67" t="s">
        <v>1023</v>
      </c>
      <c r="D389" s="69" t="s">
        <v>1027</v>
      </c>
    </row>
    <row r="390" spans="1:4" x14ac:dyDescent="0.25">
      <c r="A390" s="68" t="s">
        <v>1028</v>
      </c>
      <c r="B390" s="64" t="s">
        <v>964</v>
      </c>
      <c r="C390" s="67" t="s">
        <v>1023</v>
      </c>
      <c r="D390" s="69" t="s">
        <v>1029</v>
      </c>
    </row>
    <row r="391" spans="1:4" x14ac:dyDescent="0.25">
      <c r="A391" s="68" t="s">
        <v>1030</v>
      </c>
      <c r="B391" s="64" t="s">
        <v>964</v>
      </c>
      <c r="C391" s="67" t="s">
        <v>1023</v>
      </c>
      <c r="D391" s="69" t="s">
        <v>1031</v>
      </c>
    </row>
    <row r="392" spans="1:4" x14ac:dyDescent="0.25">
      <c r="A392" s="68" t="s">
        <v>1032</v>
      </c>
      <c r="B392" s="64" t="s">
        <v>964</v>
      </c>
      <c r="C392" s="67" t="s">
        <v>1023</v>
      </c>
      <c r="D392" s="69" t="s">
        <v>1033</v>
      </c>
    </row>
    <row r="393" spans="1:4" x14ac:dyDescent="0.25">
      <c r="A393" s="66" t="s">
        <v>1034</v>
      </c>
      <c r="B393" s="64" t="s">
        <v>964</v>
      </c>
      <c r="C393" s="67" t="s">
        <v>1035</v>
      </c>
      <c r="D393" s="67"/>
    </row>
    <row r="394" spans="1:4" x14ac:dyDescent="0.25">
      <c r="A394" s="68" t="s">
        <v>1036</v>
      </c>
      <c r="B394" s="64" t="s">
        <v>964</v>
      </c>
      <c r="C394" s="67" t="s">
        <v>1035</v>
      </c>
      <c r="D394" s="69" t="s">
        <v>1037</v>
      </c>
    </row>
    <row r="395" spans="1:4" x14ac:dyDescent="0.25">
      <c r="A395" s="68" t="s">
        <v>1038</v>
      </c>
      <c r="B395" s="64" t="s">
        <v>964</v>
      </c>
      <c r="C395" s="67" t="s">
        <v>1035</v>
      </c>
      <c r="D395" s="69" t="s">
        <v>1039</v>
      </c>
    </row>
    <row r="396" spans="1:4" x14ac:dyDescent="0.25">
      <c r="A396" s="68" t="s">
        <v>1040</v>
      </c>
      <c r="B396" s="64" t="s">
        <v>964</v>
      </c>
      <c r="C396" s="67" t="s">
        <v>1035</v>
      </c>
      <c r="D396" s="69" t="s">
        <v>1041</v>
      </c>
    </row>
    <row r="397" spans="1:4" x14ac:dyDescent="0.25">
      <c r="A397" s="68" t="s">
        <v>1042</v>
      </c>
      <c r="B397" s="64" t="s">
        <v>964</v>
      </c>
      <c r="C397" s="67" t="s">
        <v>1035</v>
      </c>
      <c r="D397" s="69" t="s">
        <v>1043</v>
      </c>
    </row>
    <row r="398" spans="1:4" x14ac:dyDescent="0.25">
      <c r="A398" s="68" t="s">
        <v>1044</v>
      </c>
      <c r="B398" s="64" t="s">
        <v>964</v>
      </c>
      <c r="C398" s="67" t="s">
        <v>1035</v>
      </c>
      <c r="D398" s="69" t="s">
        <v>1045</v>
      </c>
    </row>
    <row r="399" spans="1:4" x14ac:dyDescent="0.25">
      <c r="A399" s="68" t="s">
        <v>1046</v>
      </c>
      <c r="B399" s="64" t="s">
        <v>964</v>
      </c>
      <c r="C399" s="67" t="s">
        <v>1035</v>
      </c>
      <c r="D399" s="69" t="s">
        <v>1047</v>
      </c>
    </row>
    <row r="400" spans="1:4" x14ac:dyDescent="0.25">
      <c r="A400" s="68" t="s">
        <v>1048</v>
      </c>
      <c r="B400" s="64" t="s">
        <v>964</v>
      </c>
      <c r="C400" s="67" t="s">
        <v>1035</v>
      </c>
      <c r="D400" s="73" t="s">
        <v>1049</v>
      </c>
    </row>
    <row r="401" spans="1:4" x14ac:dyDescent="0.25">
      <c r="A401" s="68" t="s">
        <v>1050</v>
      </c>
      <c r="B401" s="64" t="s">
        <v>964</v>
      </c>
      <c r="C401" s="67" t="s">
        <v>1035</v>
      </c>
      <c r="D401" s="69" t="s">
        <v>1051</v>
      </c>
    </row>
    <row r="402" spans="1:4" x14ac:dyDescent="0.25">
      <c r="A402" s="68" t="s">
        <v>1052</v>
      </c>
      <c r="B402" s="64" t="s">
        <v>964</v>
      </c>
      <c r="C402" s="67" t="s">
        <v>1035</v>
      </c>
      <c r="D402" s="69" t="s">
        <v>1053</v>
      </c>
    </row>
    <row r="403" spans="1:4" x14ac:dyDescent="0.25">
      <c r="A403" s="68" t="s">
        <v>1054</v>
      </c>
      <c r="B403" s="64" t="s">
        <v>964</v>
      </c>
      <c r="C403" s="67" t="s">
        <v>1035</v>
      </c>
      <c r="D403" s="69" t="s">
        <v>1055</v>
      </c>
    </row>
    <row r="404" spans="1:4" x14ac:dyDescent="0.25">
      <c r="A404" s="68" t="s">
        <v>1056</v>
      </c>
      <c r="B404" s="64" t="s">
        <v>964</v>
      </c>
      <c r="C404" s="67" t="s">
        <v>1035</v>
      </c>
      <c r="D404" s="73" t="s">
        <v>1057</v>
      </c>
    </row>
    <row r="405" spans="1:4" x14ac:dyDescent="0.25">
      <c r="A405" s="68" t="s">
        <v>1058</v>
      </c>
      <c r="B405" s="64" t="s">
        <v>964</v>
      </c>
      <c r="C405" s="67" t="s">
        <v>1035</v>
      </c>
      <c r="D405" s="69" t="s">
        <v>1059</v>
      </c>
    </row>
    <row r="406" spans="1:4" x14ac:dyDescent="0.25">
      <c r="A406" s="68" t="s">
        <v>1060</v>
      </c>
      <c r="B406" s="64" t="s">
        <v>964</v>
      </c>
      <c r="C406" s="67" t="s">
        <v>1035</v>
      </c>
      <c r="D406" s="69" t="s">
        <v>1061</v>
      </c>
    </row>
    <row r="407" spans="1:4" x14ac:dyDescent="0.25">
      <c r="A407" s="68" t="s">
        <v>1062</v>
      </c>
      <c r="B407" s="64" t="s">
        <v>964</v>
      </c>
      <c r="C407" s="67" t="s">
        <v>1035</v>
      </c>
      <c r="D407" s="69" t="s">
        <v>1063</v>
      </c>
    </row>
    <row r="408" spans="1:4" x14ac:dyDescent="0.25">
      <c r="A408" s="68" t="s">
        <v>1064</v>
      </c>
      <c r="B408" s="64" t="s">
        <v>964</v>
      </c>
      <c r="C408" s="67" t="s">
        <v>1035</v>
      </c>
      <c r="D408" s="69" t="s">
        <v>1065</v>
      </c>
    </row>
    <row r="409" spans="1:4" x14ac:dyDescent="0.25">
      <c r="A409" s="66" t="s">
        <v>1066</v>
      </c>
      <c r="B409" s="64" t="s">
        <v>964</v>
      </c>
      <c r="C409" s="67" t="s">
        <v>1067</v>
      </c>
      <c r="D409" s="67"/>
    </row>
    <row r="410" spans="1:4" x14ac:dyDescent="0.25">
      <c r="A410" s="68" t="s">
        <v>1068</v>
      </c>
      <c r="B410" s="64" t="s">
        <v>964</v>
      </c>
      <c r="C410" s="67" t="s">
        <v>1067</v>
      </c>
      <c r="D410" s="69" t="s">
        <v>1069</v>
      </c>
    </row>
    <row r="411" spans="1:4" x14ac:dyDescent="0.25">
      <c r="A411" s="68" t="s">
        <v>1070</v>
      </c>
      <c r="B411" s="64" t="s">
        <v>964</v>
      </c>
      <c r="C411" s="67" t="s">
        <v>1067</v>
      </c>
      <c r="D411" s="69" t="s">
        <v>1071</v>
      </c>
    </row>
    <row r="412" spans="1:4" x14ac:dyDescent="0.25">
      <c r="A412" s="68" t="s">
        <v>1072</v>
      </c>
      <c r="B412" s="64" t="s">
        <v>964</v>
      </c>
      <c r="C412" s="67" t="s">
        <v>1067</v>
      </c>
      <c r="D412" s="69" t="s">
        <v>1073</v>
      </c>
    </row>
    <row r="413" spans="1:4" x14ac:dyDescent="0.25">
      <c r="A413" s="68" t="s">
        <v>1074</v>
      </c>
      <c r="B413" s="64" t="s">
        <v>964</v>
      </c>
      <c r="C413" s="67" t="s">
        <v>1067</v>
      </c>
      <c r="D413" s="69" t="s">
        <v>1075</v>
      </c>
    </row>
    <row r="414" spans="1:4" x14ac:dyDescent="0.25">
      <c r="A414" s="68" t="s">
        <v>1076</v>
      </c>
      <c r="B414" s="64" t="s">
        <v>964</v>
      </c>
      <c r="C414" s="67" t="s">
        <v>1067</v>
      </c>
      <c r="D414" s="69" t="s">
        <v>1077</v>
      </c>
    </row>
    <row r="415" spans="1:4" x14ac:dyDescent="0.25">
      <c r="A415" s="68" t="s">
        <v>1078</v>
      </c>
      <c r="B415" s="64" t="s">
        <v>964</v>
      </c>
      <c r="C415" s="67" t="s">
        <v>1067</v>
      </c>
      <c r="D415" s="69" t="s">
        <v>1079</v>
      </c>
    </row>
    <row r="416" spans="1:4" x14ac:dyDescent="0.25">
      <c r="A416" s="68" t="s">
        <v>1080</v>
      </c>
      <c r="B416" s="64" t="s">
        <v>964</v>
      </c>
      <c r="C416" s="67" t="s">
        <v>1067</v>
      </c>
      <c r="D416" s="69" t="s">
        <v>1081</v>
      </c>
    </row>
    <row r="417" spans="1:4" x14ac:dyDescent="0.25">
      <c r="A417" s="68" t="s">
        <v>1082</v>
      </c>
      <c r="B417" s="64" t="s">
        <v>964</v>
      </c>
      <c r="C417" s="67" t="s">
        <v>1067</v>
      </c>
      <c r="D417" s="69" t="s">
        <v>1083</v>
      </c>
    </row>
    <row r="418" spans="1:4" x14ac:dyDescent="0.25">
      <c r="A418" s="68" t="s">
        <v>1084</v>
      </c>
      <c r="B418" s="64" t="s">
        <v>964</v>
      </c>
      <c r="C418" s="67" t="s">
        <v>1067</v>
      </c>
      <c r="D418" s="69" t="s">
        <v>1085</v>
      </c>
    </row>
    <row r="419" spans="1:4" x14ac:dyDescent="0.25">
      <c r="A419" s="68" t="s">
        <v>1086</v>
      </c>
      <c r="B419" s="64" t="s">
        <v>964</v>
      </c>
      <c r="C419" s="67" t="s">
        <v>1067</v>
      </c>
      <c r="D419" s="69" t="s">
        <v>1087</v>
      </c>
    </row>
    <row r="420" spans="1:4" x14ac:dyDescent="0.25">
      <c r="A420" s="68" t="s">
        <v>1088</v>
      </c>
      <c r="B420" s="64" t="s">
        <v>964</v>
      </c>
      <c r="C420" s="67" t="s">
        <v>1067</v>
      </c>
      <c r="D420" s="69" t="s">
        <v>1089</v>
      </c>
    </row>
    <row r="421" spans="1:4" x14ac:dyDescent="0.25">
      <c r="A421" s="68" t="s">
        <v>1090</v>
      </c>
      <c r="B421" s="64" t="s">
        <v>964</v>
      </c>
      <c r="C421" s="67" t="s">
        <v>1067</v>
      </c>
      <c r="D421" s="69" t="s">
        <v>1091</v>
      </c>
    </row>
    <row r="422" spans="1:4" x14ac:dyDescent="0.25">
      <c r="A422" s="68" t="s">
        <v>1092</v>
      </c>
      <c r="B422" s="64" t="s">
        <v>964</v>
      </c>
      <c r="C422" s="67" t="s">
        <v>1067</v>
      </c>
      <c r="D422" s="69" t="s">
        <v>1093</v>
      </c>
    </row>
    <row r="423" spans="1:4" x14ac:dyDescent="0.25">
      <c r="A423" s="68" t="s">
        <v>1094</v>
      </c>
      <c r="B423" s="64" t="s">
        <v>964</v>
      </c>
      <c r="C423" s="67" t="s">
        <v>1067</v>
      </c>
      <c r="D423" s="69" t="s">
        <v>1095</v>
      </c>
    </row>
    <row r="424" spans="1:4" x14ac:dyDescent="0.25">
      <c r="A424" s="68" t="s">
        <v>1096</v>
      </c>
      <c r="B424" s="64" t="s">
        <v>964</v>
      </c>
      <c r="C424" s="67" t="s">
        <v>1067</v>
      </c>
      <c r="D424" s="69" t="s">
        <v>1097</v>
      </c>
    </row>
    <row r="425" spans="1:4" x14ac:dyDescent="0.25">
      <c r="A425" s="68" t="s">
        <v>1098</v>
      </c>
      <c r="B425" s="64" t="s">
        <v>964</v>
      </c>
      <c r="C425" s="67" t="s">
        <v>1067</v>
      </c>
      <c r="D425" s="69" t="s">
        <v>1099</v>
      </c>
    </row>
    <row r="426" spans="1:4" x14ac:dyDescent="0.25">
      <c r="A426" s="68" t="s">
        <v>1100</v>
      </c>
      <c r="B426" s="64" t="s">
        <v>964</v>
      </c>
      <c r="C426" s="67" t="s">
        <v>1067</v>
      </c>
      <c r="D426" s="69" t="s">
        <v>1101</v>
      </c>
    </row>
    <row r="427" spans="1:4" x14ac:dyDescent="0.25">
      <c r="A427" s="68" t="s">
        <v>1102</v>
      </c>
      <c r="B427" s="64" t="s">
        <v>964</v>
      </c>
      <c r="C427" s="67" t="s">
        <v>1067</v>
      </c>
      <c r="D427" s="69" t="s">
        <v>1103</v>
      </c>
    </row>
    <row r="428" spans="1:4" x14ac:dyDescent="0.25">
      <c r="A428" s="68" t="s">
        <v>1104</v>
      </c>
      <c r="B428" s="64" t="s">
        <v>964</v>
      </c>
      <c r="C428" s="67" t="s">
        <v>1067</v>
      </c>
      <c r="D428" s="69" t="s">
        <v>1105</v>
      </c>
    </row>
    <row r="429" spans="1:4" x14ac:dyDescent="0.25">
      <c r="A429" s="66" t="s">
        <v>1106</v>
      </c>
      <c r="B429" s="64" t="s">
        <v>964</v>
      </c>
      <c r="C429" s="67" t="s">
        <v>1107</v>
      </c>
      <c r="D429" s="67"/>
    </row>
    <row r="430" spans="1:4" x14ac:dyDescent="0.25">
      <c r="A430" s="68" t="s">
        <v>1108</v>
      </c>
      <c r="B430" s="64" t="s">
        <v>964</v>
      </c>
      <c r="C430" s="67" t="s">
        <v>1107</v>
      </c>
      <c r="D430" s="73" t="s">
        <v>1109</v>
      </c>
    </row>
    <row r="431" spans="1:4" x14ac:dyDescent="0.25">
      <c r="A431" s="66" t="s">
        <v>1110</v>
      </c>
      <c r="B431" s="64" t="s">
        <v>964</v>
      </c>
      <c r="C431" s="67" t="s">
        <v>1111</v>
      </c>
      <c r="D431" s="67"/>
    </row>
    <row r="432" spans="1:4" x14ac:dyDescent="0.25">
      <c r="A432" s="68" t="s">
        <v>1112</v>
      </c>
      <c r="B432" s="64" t="s">
        <v>964</v>
      </c>
      <c r="C432" s="67" t="s">
        <v>1111</v>
      </c>
      <c r="D432" s="69" t="s">
        <v>1113</v>
      </c>
    </row>
    <row r="433" spans="1:4" x14ac:dyDescent="0.25">
      <c r="A433" s="68" t="s">
        <v>1114</v>
      </c>
      <c r="B433" s="64" t="s">
        <v>964</v>
      </c>
      <c r="C433" s="67" t="s">
        <v>1111</v>
      </c>
      <c r="D433" s="69" t="s">
        <v>1115</v>
      </c>
    </row>
    <row r="434" spans="1:4" x14ac:dyDescent="0.25">
      <c r="A434" s="68" t="s">
        <v>1116</v>
      </c>
      <c r="B434" s="64" t="s">
        <v>964</v>
      </c>
      <c r="C434" s="67" t="s">
        <v>1111</v>
      </c>
      <c r="D434" s="69" t="s">
        <v>1117</v>
      </c>
    </row>
    <row r="435" spans="1:4" x14ac:dyDescent="0.25">
      <c r="A435" s="68" t="s">
        <v>1118</v>
      </c>
      <c r="B435" s="64" t="s">
        <v>964</v>
      </c>
      <c r="C435" s="67" t="s">
        <v>1111</v>
      </c>
      <c r="D435" s="69" t="s">
        <v>1119</v>
      </c>
    </row>
    <row r="436" spans="1:4" x14ac:dyDescent="0.25">
      <c r="A436" s="66" t="s">
        <v>1120</v>
      </c>
      <c r="B436" s="64" t="s">
        <v>964</v>
      </c>
      <c r="C436" s="67" t="s">
        <v>1121</v>
      </c>
      <c r="D436" s="67"/>
    </row>
    <row r="437" spans="1:4" x14ac:dyDescent="0.25">
      <c r="A437" s="68" t="s">
        <v>1122</v>
      </c>
      <c r="B437" s="64" t="s">
        <v>964</v>
      </c>
      <c r="C437" s="67" t="s">
        <v>1121</v>
      </c>
      <c r="D437" s="69" t="s">
        <v>1123</v>
      </c>
    </row>
    <row r="438" spans="1:4" x14ac:dyDescent="0.25">
      <c r="A438" s="68" t="s">
        <v>1124</v>
      </c>
      <c r="B438" s="64" t="s">
        <v>964</v>
      </c>
      <c r="C438" s="67" t="s">
        <v>1121</v>
      </c>
      <c r="D438" s="69" t="s">
        <v>1125</v>
      </c>
    </row>
    <row r="439" spans="1:4" x14ac:dyDescent="0.25">
      <c r="A439" s="66" t="s">
        <v>1126</v>
      </c>
      <c r="B439" s="64" t="s">
        <v>964</v>
      </c>
      <c r="C439" s="67" t="s">
        <v>1127</v>
      </c>
      <c r="D439" s="67"/>
    </row>
    <row r="440" spans="1:4" x14ac:dyDescent="0.25">
      <c r="A440" s="68" t="s">
        <v>1128</v>
      </c>
      <c r="B440" s="64" t="s">
        <v>964</v>
      </c>
      <c r="C440" s="67" t="s">
        <v>1127</v>
      </c>
      <c r="D440" s="69" t="s">
        <v>1129</v>
      </c>
    </row>
    <row r="441" spans="1:4" x14ac:dyDescent="0.25">
      <c r="A441" s="68" t="s">
        <v>1130</v>
      </c>
      <c r="B441" s="64" t="s">
        <v>964</v>
      </c>
      <c r="C441" s="67" t="s">
        <v>1127</v>
      </c>
      <c r="D441" s="69" t="s">
        <v>1131</v>
      </c>
    </row>
    <row r="442" spans="1:4" x14ac:dyDescent="0.25">
      <c r="A442" s="66" t="s">
        <v>1132</v>
      </c>
      <c r="B442" s="64" t="s">
        <v>964</v>
      </c>
      <c r="C442" s="67" t="s">
        <v>1133</v>
      </c>
      <c r="D442" s="67"/>
    </row>
    <row r="443" spans="1:4" x14ac:dyDescent="0.25">
      <c r="A443" s="68" t="s">
        <v>1134</v>
      </c>
      <c r="B443" s="64" t="s">
        <v>964</v>
      </c>
      <c r="C443" s="67" t="s">
        <v>1133</v>
      </c>
      <c r="D443" s="69" t="s">
        <v>1135</v>
      </c>
    </row>
    <row r="444" spans="1:4" x14ac:dyDescent="0.25">
      <c r="A444" s="66" t="s">
        <v>1136</v>
      </c>
      <c r="B444" s="64" t="s">
        <v>964</v>
      </c>
      <c r="C444" s="67" t="s">
        <v>1137</v>
      </c>
      <c r="D444" s="67"/>
    </row>
    <row r="445" spans="1:4" x14ac:dyDescent="0.25">
      <c r="A445" s="68" t="s">
        <v>1138</v>
      </c>
      <c r="B445" s="64" t="s">
        <v>964</v>
      </c>
      <c r="C445" s="67" t="s">
        <v>1137</v>
      </c>
      <c r="D445" s="69" t="s">
        <v>1139</v>
      </c>
    </row>
    <row r="446" spans="1:4" x14ac:dyDescent="0.25">
      <c r="A446" s="68" t="s">
        <v>1140</v>
      </c>
      <c r="B446" s="64" t="s">
        <v>964</v>
      </c>
      <c r="C446" s="67" t="s">
        <v>1137</v>
      </c>
      <c r="D446" s="69" t="s">
        <v>1141</v>
      </c>
    </row>
    <row r="447" spans="1:4" x14ac:dyDescent="0.25">
      <c r="A447" s="68" t="s">
        <v>1142</v>
      </c>
      <c r="B447" s="64" t="s">
        <v>964</v>
      </c>
      <c r="C447" s="67" t="s">
        <v>1137</v>
      </c>
      <c r="D447" s="69" t="s">
        <v>1143</v>
      </c>
    </row>
    <row r="448" spans="1:4" x14ac:dyDescent="0.25">
      <c r="A448" s="68" t="s">
        <v>1144</v>
      </c>
      <c r="B448" s="64" t="s">
        <v>964</v>
      </c>
      <c r="C448" s="67" t="s">
        <v>1137</v>
      </c>
      <c r="D448" s="69" t="s">
        <v>1145</v>
      </c>
    </row>
    <row r="449" spans="1:4" x14ac:dyDescent="0.25">
      <c r="A449" s="68" t="s">
        <v>1146</v>
      </c>
      <c r="B449" s="64" t="s">
        <v>964</v>
      </c>
      <c r="C449" s="67" t="s">
        <v>1137</v>
      </c>
      <c r="D449" s="69" t="s">
        <v>1147</v>
      </c>
    </row>
    <row r="450" spans="1:4" x14ac:dyDescent="0.25">
      <c r="A450" s="68" t="s">
        <v>1148</v>
      </c>
      <c r="B450" s="64" t="s">
        <v>964</v>
      </c>
      <c r="C450" s="67" t="s">
        <v>1137</v>
      </c>
      <c r="D450" s="69" t="s">
        <v>1149</v>
      </c>
    </row>
    <row r="451" spans="1:4" x14ac:dyDescent="0.25">
      <c r="A451" s="66" t="s">
        <v>1150</v>
      </c>
      <c r="B451" s="64" t="s">
        <v>964</v>
      </c>
      <c r="C451" s="67" t="s">
        <v>1151</v>
      </c>
      <c r="D451" s="67"/>
    </row>
    <row r="452" spans="1:4" x14ac:dyDescent="0.25">
      <c r="A452" s="68" t="s">
        <v>1152</v>
      </c>
      <c r="B452" s="64" t="s">
        <v>964</v>
      </c>
      <c r="C452" s="67" t="s">
        <v>1151</v>
      </c>
      <c r="D452" s="69" t="s">
        <v>1153</v>
      </c>
    </row>
    <row r="453" spans="1:4" x14ac:dyDescent="0.25">
      <c r="A453" s="68" t="s">
        <v>1154</v>
      </c>
      <c r="B453" s="64" t="s">
        <v>964</v>
      </c>
      <c r="C453" s="67" t="s">
        <v>1151</v>
      </c>
      <c r="D453" s="69" t="s">
        <v>1155</v>
      </c>
    </row>
    <row r="454" spans="1:4" x14ac:dyDescent="0.25">
      <c r="A454" s="68" t="s">
        <v>1156</v>
      </c>
      <c r="B454" s="64" t="s">
        <v>964</v>
      </c>
      <c r="C454" s="67" t="s">
        <v>1151</v>
      </c>
      <c r="D454" s="69" t="s">
        <v>1157</v>
      </c>
    </row>
    <row r="455" spans="1:4" x14ac:dyDescent="0.25">
      <c r="A455" s="68" t="s">
        <v>1158</v>
      </c>
      <c r="B455" s="64" t="s">
        <v>964</v>
      </c>
      <c r="C455" s="67" t="s">
        <v>1151</v>
      </c>
      <c r="D455" s="69" t="s">
        <v>1159</v>
      </c>
    </row>
    <row r="456" spans="1:4" x14ac:dyDescent="0.25">
      <c r="A456" s="68" t="s">
        <v>1160</v>
      </c>
      <c r="B456" s="64" t="s">
        <v>964</v>
      </c>
      <c r="C456" s="67" t="s">
        <v>1151</v>
      </c>
      <c r="D456" s="69" t="s">
        <v>1161</v>
      </c>
    </row>
    <row r="457" spans="1:4" x14ac:dyDescent="0.25">
      <c r="A457" s="68" t="s">
        <v>1162</v>
      </c>
      <c r="B457" s="64" t="s">
        <v>964</v>
      </c>
      <c r="C457" s="67" t="s">
        <v>1151</v>
      </c>
      <c r="D457" s="69" t="s">
        <v>1163</v>
      </c>
    </row>
    <row r="458" spans="1:4" x14ac:dyDescent="0.25">
      <c r="A458" s="68" t="s">
        <v>1164</v>
      </c>
      <c r="B458" s="64" t="s">
        <v>964</v>
      </c>
      <c r="C458" s="67" t="s">
        <v>1151</v>
      </c>
      <c r="D458" s="69" t="s">
        <v>1165</v>
      </c>
    </row>
    <row r="459" spans="1:4" x14ac:dyDescent="0.25">
      <c r="A459" s="68" t="s">
        <v>1166</v>
      </c>
      <c r="B459" s="64" t="s">
        <v>964</v>
      </c>
      <c r="C459" s="67" t="s">
        <v>1151</v>
      </c>
      <c r="D459" s="69" t="s">
        <v>1167</v>
      </c>
    </row>
    <row r="460" spans="1:4" x14ac:dyDescent="0.25">
      <c r="A460" s="68" t="s">
        <v>1168</v>
      </c>
      <c r="B460" s="64" t="s">
        <v>964</v>
      </c>
      <c r="C460" s="67" t="s">
        <v>1151</v>
      </c>
      <c r="D460" s="69" t="s">
        <v>1169</v>
      </c>
    </row>
    <row r="461" spans="1:4" x14ac:dyDescent="0.25">
      <c r="A461" s="68" t="s">
        <v>1170</v>
      </c>
      <c r="B461" s="64" t="s">
        <v>964</v>
      </c>
      <c r="C461" s="67" t="s">
        <v>1151</v>
      </c>
      <c r="D461" s="69" t="s">
        <v>1171</v>
      </c>
    </row>
    <row r="462" spans="1:4" x14ac:dyDescent="0.25">
      <c r="A462" s="68" t="s">
        <v>1172</v>
      </c>
      <c r="B462" s="64" t="s">
        <v>964</v>
      </c>
      <c r="C462" s="67" t="s">
        <v>1151</v>
      </c>
      <c r="D462" s="69" t="s">
        <v>1173</v>
      </c>
    </row>
    <row r="463" spans="1:4" x14ac:dyDescent="0.25">
      <c r="A463" s="68" t="s">
        <v>1174</v>
      </c>
      <c r="B463" s="64" t="s">
        <v>964</v>
      </c>
      <c r="C463" s="67" t="s">
        <v>1151</v>
      </c>
      <c r="D463" s="69" t="s">
        <v>1175</v>
      </c>
    </row>
    <row r="464" spans="1:4" x14ac:dyDescent="0.25">
      <c r="A464" s="68" t="s">
        <v>1176</v>
      </c>
      <c r="B464" s="64" t="s">
        <v>964</v>
      </c>
      <c r="C464" s="67" t="s">
        <v>1151</v>
      </c>
      <c r="D464" s="69" t="s">
        <v>1177</v>
      </c>
    </row>
    <row r="465" spans="1:4" x14ac:dyDescent="0.25">
      <c r="A465" s="68" t="s">
        <v>1178</v>
      </c>
      <c r="B465" s="64" t="s">
        <v>964</v>
      </c>
      <c r="C465" s="67" t="s">
        <v>1151</v>
      </c>
      <c r="D465" s="69" t="s">
        <v>1179</v>
      </c>
    </row>
    <row r="466" spans="1:4" x14ac:dyDescent="0.25">
      <c r="A466" s="68" t="s">
        <v>1180</v>
      </c>
      <c r="B466" s="64" t="s">
        <v>964</v>
      </c>
      <c r="C466" s="67" t="s">
        <v>1151</v>
      </c>
      <c r="D466" s="69" t="s">
        <v>1181</v>
      </c>
    </row>
    <row r="467" spans="1:4" x14ac:dyDescent="0.25">
      <c r="A467" s="68" t="s">
        <v>1182</v>
      </c>
      <c r="B467" s="64" t="s">
        <v>964</v>
      </c>
      <c r="C467" s="67" t="s">
        <v>1151</v>
      </c>
      <c r="D467" s="69" t="s">
        <v>1183</v>
      </c>
    </row>
    <row r="468" spans="1:4" x14ac:dyDescent="0.25">
      <c r="A468" s="68" t="s">
        <v>1184</v>
      </c>
      <c r="B468" s="64" t="s">
        <v>964</v>
      </c>
      <c r="C468" s="67" t="s">
        <v>1151</v>
      </c>
      <c r="D468" s="69" t="s">
        <v>1185</v>
      </c>
    </row>
    <row r="469" spans="1:4" x14ac:dyDescent="0.25">
      <c r="A469" s="68" t="s">
        <v>1186</v>
      </c>
      <c r="B469" s="64" t="s">
        <v>964</v>
      </c>
      <c r="C469" s="67" t="s">
        <v>1151</v>
      </c>
      <c r="D469" s="69" t="s">
        <v>1187</v>
      </c>
    </row>
    <row r="470" spans="1:4" x14ac:dyDescent="0.25">
      <c r="A470" s="68" t="s">
        <v>1188</v>
      </c>
      <c r="B470" s="64" t="s">
        <v>964</v>
      </c>
      <c r="C470" s="67" t="s">
        <v>1151</v>
      </c>
      <c r="D470" s="69" t="s">
        <v>1189</v>
      </c>
    </row>
    <row r="471" spans="1:4" x14ac:dyDescent="0.25">
      <c r="A471" s="68" t="s">
        <v>1190</v>
      </c>
      <c r="B471" s="64" t="s">
        <v>964</v>
      </c>
      <c r="C471" s="67" t="s">
        <v>1151</v>
      </c>
      <c r="D471" s="69" t="s">
        <v>1191</v>
      </c>
    </row>
    <row r="472" spans="1:4" x14ac:dyDescent="0.25">
      <c r="A472" s="68" t="s">
        <v>1192</v>
      </c>
      <c r="B472" s="64" t="s">
        <v>964</v>
      </c>
      <c r="C472" s="67" t="s">
        <v>1151</v>
      </c>
      <c r="D472" s="69" t="s">
        <v>1193</v>
      </c>
    </row>
    <row r="473" spans="1:4" x14ac:dyDescent="0.25">
      <c r="A473" s="68" t="s">
        <v>1194</v>
      </c>
      <c r="B473" s="64" t="s">
        <v>964</v>
      </c>
      <c r="C473" s="67" t="s">
        <v>1151</v>
      </c>
      <c r="D473" s="69" t="s">
        <v>1195</v>
      </c>
    </row>
    <row r="474" spans="1:4" x14ac:dyDescent="0.25">
      <c r="A474" s="68" t="s">
        <v>1196</v>
      </c>
      <c r="B474" s="64" t="s">
        <v>964</v>
      </c>
      <c r="C474" s="67" t="s">
        <v>1151</v>
      </c>
      <c r="D474" s="69" t="s">
        <v>1197</v>
      </c>
    </row>
    <row r="475" spans="1:4" x14ac:dyDescent="0.25">
      <c r="A475" s="68" t="s">
        <v>1198</v>
      </c>
      <c r="B475" s="64" t="s">
        <v>964</v>
      </c>
      <c r="C475" s="67" t="s">
        <v>1151</v>
      </c>
      <c r="D475" s="69" t="s">
        <v>1199</v>
      </c>
    </row>
    <row r="476" spans="1:4" x14ac:dyDescent="0.25">
      <c r="A476" s="68" t="s">
        <v>1200</v>
      </c>
      <c r="B476" s="64" t="s">
        <v>964</v>
      </c>
      <c r="C476" s="67" t="s">
        <v>1151</v>
      </c>
      <c r="D476" s="69" t="s">
        <v>1201</v>
      </c>
    </row>
    <row r="477" spans="1:4" x14ac:dyDescent="0.25">
      <c r="A477" s="68" t="s">
        <v>1202</v>
      </c>
      <c r="B477" s="64" t="s">
        <v>964</v>
      </c>
      <c r="C477" s="67" t="s">
        <v>1151</v>
      </c>
      <c r="D477" s="69" t="s">
        <v>1203</v>
      </c>
    </row>
    <row r="478" spans="1:4" x14ac:dyDescent="0.25">
      <c r="A478" s="68" t="s">
        <v>1204</v>
      </c>
      <c r="B478" s="64" t="s">
        <v>964</v>
      </c>
      <c r="C478" s="67" t="s">
        <v>1151</v>
      </c>
      <c r="D478" s="69" t="s">
        <v>1205</v>
      </c>
    </row>
    <row r="479" spans="1:4" x14ac:dyDescent="0.25">
      <c r="A479" s="68" t="s">
        <v>1206</v>
      </c>
      <c r="B479" s="64" t="s">
        <v>964</v>
      </c>
      <c r="C479" s="67" t="s">
        <v>1151</v>
      </c>
      <c r="D479" s="69" t="s">
        <v>1207</v>
      </c>
    </row>
    <row r="480" spans="1:4" x14ac:dyDescent="0.25">
      <c r="A480" s="68" t="s">
        <v>1208</v>
      </c>
      <c r="B480" s="64" t="s">
        <v>964</v>
      </c>
      <c r="C480" s="67" t="s">
        <v>1151</v>
      </c>
      <c r="D480" s="69" t="s">
        <v>1209</v>
      </c>
    </row>
    <row r="481" spans="1:4" x14ac:dyDescent="0.25">
      <c r="A481" s="68" t="s">
        <v>1210</v>
      </c>
      <c r="B481" s="64" t="s">
        <v>964</v>
      </c>
      <c r="C481" s="67" t="s">
        <v>1151</v>
      </c>
      <c r="D481" s="69" t="s">
        <v>1211</v>
      </c>
    </row>
    <row r="482" spans="1:4" x14ac:dyDescent="0.25">
      <c r="A482" s="68" t="s">
        <v>1212</v>
      </c>
      <c r="B482" s="64" t="s">
        <v>964</v>
      </c>
      <c r="C482" s="67" t="s">
        <v>1151</v>
      </c>
      <c r="D482" s="69" t="s">
        <v>1213</v>
      </c>
    </row>
    <row r="483" spans="1:4" x14ac:dyDescent="0.25">
      <c r="A483" s="68" t="s">
        <v>1214</v>
      </c>
      <c r="B483" s="64" t="s">
        <v>964</v>
      </c>
      <c r="C483" s="67" t="s">
        <v>1151</v>
      </c>
      <c r="D483" s="69" t="s">
        <v>1215</v>
      </c>
    </row>
    <row r="484" spans="1:4" x14ac:dyDescent="0.25">
      <c r="A484" s="68" t="s">
        <v>1216</v>
      </c>
      <c r="B484" s="64" t="s">
        <v>964</v>
      </c>
      <c r="C484" s="67" t="s">
        <v>1151</v>
      </c>
      <c r="D484" s="69" t="s">
        <v>1217</v>
      </c>
    </row>
    <row r="485" spans="1:4" x14ac:dyDescent="0.25">
      <c r="A485" s="68" t="s">
        <v>1218</v>
      </c>
      <c r="B485" s="64" t="s">
        <v>964</v>
      </c>
      <c r="C485" s="67" t="s">
        <v>1151</v>
      </c>
      <c r="D485" s="69" t="s">
        <v>1219</v>
      </c>
    </row>
    <row r="486" spans="1:4" x14ac:dyDescent="0.25">
      <c r="A486" s="68" t="s">
        <v>1220</v>
      </c>
      <c r="B486" s="64" t="s">
        <v>964</v>
      </c>
      <c r="C486" s="67" t="s">
        <v>1151</v>
      </c>
      <c r="D486" s="69" t="s">
        <v>1221</v>
      </c>
    </row>
    <row r="487" spans="1:4" x14ac:dyDescent="0.25">
      <c r="A487" s="68" t="s">
        <v>1222</v>
      </c>
      <c r="B487" s="64" t="s">
        <v>964</v>
      </c>
      <c r="C487" s="67" t="s">
        <v>1151</v>
      </c>
      <c r="D487" s="69" t="s">
        <v>1223</v>
      </c>
    </row>
    <row r="488" spans="1:4" x14ac:dyDescent="0.25">
      <c r="A488" s="68" t="s">
        <v>1224</v>
      </c>
      <c r="B488" s="64" t="s">
        <v>964</v>
      </c>
      <c r="C488" s="67" t="s">
        <v>1151</v>
      </c>
      <c r="D488" s="69" t="s">
        <v>1225</v>
      </c>
    </row>
    <row r="489" spans="1:4" x14ac:dyDescent="0.25">
      <c r="A489" s="68" t="s">
        <v>1226</v>
      </c>
      <c r="B489" s="64" t="s">
        <v>964</v>
      </c>
      <c r="C489" s="67" t="s">
        <v>1151</v>
      </c>
      <c r="D489" s="69" t="s">
        <v>1227</v>
      </c>
    </row>
    <row r="490" spans="1:4" x14ac:dyDescent="0.25">
      <c r="A490" s="68" t="s">
        <v>1228</v>
      </c>
      <c r="B490" s="64" t="s">
        <v>964</v>
      </c>
      <c r="C490" s="67" t="s">
        <v>1151</v>
      </c>
      <c r="D490" s="69" t="s">
        <v>1229</v>
      </c>
    </row>
    <row r="491" spans="1:4" x14ac:dyDescent="0.25">
      <c r="A491" s="68" t="s">
        <v>1230</v>
      </c>
      <c r="B491" s="64" t="s">
        <v>964</v>
      </c>
      <c r="C491" s="67" t="s">
        <v>1151</v>
      </c>
      <c r="D491" s="69" t="s">
        <v>1231</v>
      </c>
    </row>
    <row r="492" spans="1:4" x14ac:dyDescent="0.25">
      <c r="A492" s="68" t="s">
        <v>1232</v>
      </c>
      <c r="B492" s="64" t="s">
        <v>964</v>
      </c>
      <c r="C492" s="67" t="s">
        <v>1151</v>
      </c>
      <c r="D492" s="69" t="s">
        <v>1233</v>
      </c>
    </row>
    <row r="493" spans="1:4" x14ac:dyDescent="0.25">
      <c r="A493" s="68" t="s">
        <v>1234</v>
      </c>
      <c r="B493" s="64" t="s">
        <v>964</v>
      </c>
      <c r="C493" s="67" t="s">
        <v>1151</v>
      </c>
      <c r="D493" s="69" t="s">
        <v>1235</v>
      </c>
    </row>
    <row r="494" spans="1:4" x14ac:dyDescent="0.25">
      <c r="A494" s="68" t="s">
        <v>1236</v>
      </c>
      <c r="B494" s="64" t="s">
        <v>964</v>
      </c>
      <c r="C494" s="67" t="s">
        <v>1151</v>
      </c>
      <c r="D494" s="69" t="s">
        <v>1237</v>
      </c>
    </row>
    <row r="495" spans="1:4" x14ac:dyDescent="0.25">
      <c r="A495" s="68" t="s">
        <v>1238</v>
      </c>
      <c r="B495" s="64" t="s">
        <v>964</v>
      </c>
      <c r="C495" s="67" t="s">
        <v>1151</v>
      </c>
      <c r="D495" s="69" t="s">
        <v>1239</v>
      </c>
    </row>
    <row r="496" spans="1:4" x14ac:dyDescent="0.25">
      <c r="A496" s="68" t="s">
        <v>1240</v>
      </c>
      <c r="B496" s="64" t="s">
        <v>964</v>
      </c>
      <c r="C496" s="67" t="s">
        <v>1151</v>
      </c>
      <c r="D496" s="69" t="s">
        <v>1241</v>
      </c>
    </row>
    <row r="497" spans="1:4" x14ac:dyDescent="0.25">
      <c r="A497" s="68" t="s">
        <v>1242</v>
      </c>
      <c r="B497" s="64" t="s">
        <v>964</v>
      </c>
      <c r="C497" s="67" t="s">
        <v>1151</v>
      </c>
      <c r="D497" s="69" t="s">
        <v>1243</v>
      </c>
    </row>
    <row r="498" spans="1:4" x14ac:dyDescent="0.25">
      <c r="A498" s="68" t="s">
        <v>1244</v>
      </c>
      <c r="B498" s="64" t="s">
        <v>964</v>
      </c>
      <c r="C498" s="67" t="s">
        <v>1151</v>
      </c>
      <c r="D498" s="73" t="s">
        <v>1245</v>
      </c>
    </row>
    <row r="499" spans="1:4" x14ac:dyDescent="0.25">
      <c r="A499" s="68" t="s">
        <v>1246</v>
      </c>
      <c r="B499" s="64" t="s">
        <v>964</v>
      </c>
      <c r="C499" s="67" t="s">
        <v>1151</v>
      </c>
      <c r="D499" s="73" t="s">
        <v>1247</v>
      </c>
    </row>
    <row r="500" spans="1:4" x14ac:dyDescent="0.25">
      <c r="A500" s="68" t="s">
        <v>1248</v>
      </c>
      <c r="B500" s="64" t="s">
        <v>964</v>
      </c>
      <c r="C500" s="67" t="s">
        <v>1151</v>
      </c>
      <c r="D500" s="69" t="s">
        <v>1249</v>
      </c>
    </row>
    <row r="501" spans="1:4" x14ac:dyDescent="0.25">
      <c r="A501" s="68" t="s">
        <v>1250</v>
      </c>
      <c r="B501" s="64" t="s">
        <v>964</v>
      </c>
      <c r="C501" s="67" t="s">
        <v>1151</v>
      </c>
      <c r="D501" s="69" t="s">
        <v>1251</v>
      </c>
    </row>
    <row r="502" spans="1:4" x14ac:dyDescent="0.25">
      <c r="A502" s="68" t="s">
        <v>1252</v>
      </c>
      <c r="B502" s="64" t="s">
        <v>964</v>
      </c>
      <c r="C502" s="67" t="s">
        <v>1151</v>
      </c>
      <c r="D502" s="69" t="s">
        <v>1253</v>
      </c>
    </row>
    <row r="503" spans="1:4" x14ac:dyDescent="0.25">
      <c r="A503" s="66" t="s">
        <v>1254</v>
      </c>
      <c r="B503" s="64" t="s">
        <v>964</v>
      </c>
      <c r="C503" s="67" t="s">
        <v>1255</v>
      </c>
      <c r="D503" s="67"/>
    </row>
    <row r="504" spans="1:4" x14ac:dyDescent="0.25">
      <c r="A504" s="68" t="s">
        <v>1256</v>
      </c>
      <c r="B504" s="64" t="s">
        <v>964</v>
      </c>
      <c r="C504" s="67" t="s">
        <v>1255</v>
      </c>
      <c r="D504" s="69" t="s">
        <v>1257</v>
      </c>
    </row>
    <row r="505" spans="1:4" x14ac:dyDescent="0.25">
      <c r="A505" s="68" t="s">
        <v>1258</v>
      </c>
      <c r="B505" s="64" t="s">
        <v>964</v>
      </c>
      <c r="C505" s="67" t="s">
        <v>1255</v>
      </c>
      <c r="D505" s="69" t="s">
        <v>1259</v>
      </c>
    </row>
    <row r="506" spans="1:4" x14ac:dyDescent="0.25">
      <c r="A506" s="68" t="s">
        <v>1260</v>
      </c>
      <c r="B506" s="64" t="s">
        <v>964</v>
      </c>
      <c r="C506" s="67" t="s">
        <v>1255</v>
      </c>
      <c r="D506" s="69" t="s">
        <v>1261</v>
      </c>
    </row>
    <row r="507" spans="1:4" x14ac:dyDescent="0.25">
      <c r="A507" s="68" t="s">
        <v>1262</v>
      </c>
      <c r="B507" s="64" t="s">
        <v>964</v>
      </c>
      <c r="C507" s="67" t="s">
        <v>1255</v>
      </c>
      <c r="D507" s="69" t="s">
        <v>1263</v>
      </c>
    </row>
    <row r="508" spans="1:4" x14ac:dyDescent="0.25">
      <c r="A508" s="66" t="s">
        <v>1264</v>
      </c>
      <c r="B508" s="64" t="s">
        <v>964</v>
      </c>
      <c r="C508" s="67" t="s">
        <v>1265</v>
      </c>
      <c r="D508" s="67"/>
    </row>
    <row r="509" spans="1:4" x14ac:dyDescent="0.25">
      <c r="A509" s="68" t="s">
        <v>1266</v>
      </c>
      <c r="B509" s="64" t="s">
        <v>964</v>
      </c>
      <c r="C509" s="67" t="s">
        <v>1265</v>
      </c>
      <c r="D509" s="69" t="s">
        <v>1267</v>
      </c>
    </row>
    <row r="510" spans="1:4" x14ac:dyDescent="0.25">
      <c r="A510" s="68" t="s">
        <v>1268</v>
      </c>
      <c r="B510" s="64" t="s">
        <v>964</v>
      </c>
      <c r="C510" s="67" t="s">
        <v>1265</v>
      </c>
      <c r="D510" s="69" t="s">
        <v>1269</v>
      </c>
    </row>
    <row r="511" spans="1:4" x14ac:dyDescent="0.25">
      <c r="A511" s="68" t="s">
        <v>1270</v>
      </c>
      <c r="B511" s="64" t="s">
        <v>964</v>
      </c>
      <c r="C511" s="67" t="s">
        <v>1265</v>
      </c>
      <c r="D511" s="69" t="s">
        <v>1271</v>
      </c>
    </row>
    <row r="512" spans="1:4" x14ac:dyDescent="0.25">
      <c r="A512" s="68" t="s">
        <v>1272</v>
      </c>
      <c r="B512" s="64" t="s">
        <v>964</v>
      </c>
      <c r="C512" s="67" t="s">
        <v>1265</v>
      </c>
      <c r="D512" s="69" t="s">
        <v>1273</v>
      </c>
    </row>
    <row r="513" spans="1:4" x14ac:dyDescent="0.25">
      <c r="A513" s="68" t="s">
        <v>1274</v>
      </c>
      <c r="B513" s="64" t="s">
        <v>964</v>
      </c>
      <c r="C513" s="67" t="s">
        <v>1265</v>
      </c>
      <c r="D513" s="69" t="s">
        <v>1275</v>
      </c>
    </row>
    <row r="514" spans="1:4" x14ac:dyDescent="0.25">
      <c r="A514" s="68" t="s">
        <v>1276</v>
      </c>
      <c r="B514" s="64" t="s">
        <v>964</v>
      </c>
      <c r="C514" s="67" t="s">
        <v>1265</v>
      </c>
      <c r="D514" s="69" t="s">
        <v>1277</v>
      </c>
    </row>
    <row r="515" spans="1:4" x14ac:dyDescent="0.25">
      <c r="A515" s="68" t="s">
        <v>1278</v>
      </c>
      <c r="B515" s="64" t="s">
        <v>964</v>
      </c>
      <c r="C515" s="67" t="s">
        <v>1265</v>
      </c>
      <c r="D515" s="69" t="s">
        <v>1279</v>
      </c>
    </row>
    <row r="516" spans="1:4" x14ac:dyDescent="0.25">
      <c r="A516" s="68" t="s">
        <v>1280</v>
      </c>
      <c r="B516" s="64" t="s">
        <v>964</v>
      </c>
      <c r="C516" s="67" t="s">
        <v>1265</v>
      </c>
      <c r="D516" s="69" t="s">
        <v>1281</v>
      </c>
    </row>
    <row r="517" spans="1:4" x14ac:dyDescent="0.25">
      <c r="A517" s="68" t="s">
        <v>1282</v>
      </c>
      <c r="B517" s="64" t="s">
        <v>964</v>
      </c>
      <c r="C517" s="67" t="s">
        <v>1265</v>
      </c>
      <c r="D517" s="69" t="s">
        <v>1283</v>
      </c>
    </row>
    <row r="518" spans="1:4" x14ac:dyDescent="0.25">
      <c r="A518" s="68" t="s">
        <v>1284</v>
      </c>
      <c r="B518" s="64" t="s">
        <v>964</v>
      </c>
      <c r="C518" s="67" t="s">
        <v>1265</v>
      </c>
      <c r="D518" s="69" t="s">
        <v>1285</v>
      </c>
    </row>
    <row r="519" spans="1:4" x14ac:dyDescent="0.25">
      <c r="A519" s="68" t="s">
        <v>1286</v>
      </c>
      <c r="B519" s="64" t="s">
        <v>964</v>
      </c>
      <c r="C519" s="67" t="s">
        <v>1265</v>
      </c>
      <c r="D519" s="69" t="s">
        <v>1287</v>
      </c>
    </row>
    <row r="520" spans="1:4" x14ac:dyDescent="0.25">
      <c r="A520" s="68" t="s">
        <v>1288</v>
      </c>
      <c r="B520" s="64" t="s">
        <v>964</v>
      </c>
      <c r="C520" s="67" t="s">
        <v>1265</v>
      </c>
      <c r="D520" s="69" t="s">
        <v>1289</v>
      </c>
    </row>
    <row r="521" spans="1:4" x14ac:dyDescent="0.25">
      <c r="A521" s="68" t="s">
        <v>1290</v>
      </c>
      <c r="B521" s="64" t="s">
        <v>964</v>
      </c>
      <c r="C521" s="67" t="s">
        <v>1265</v>
      </c>
      <c r="D521" s="69" t="s">
        <v>1291</v>
      </c>
    </row>
    <row r="522" spans="1:4" x14ac:dyDescent="0.25">
      <c r="A522" s="68" t="s">
        <v>1292</v>
      </c>
      <c r="B522" s="64" t="s">
        <v>964</v>
      </c>
      <c r="C522" s="67" t="s">
        <v>1265</v>
      </c>
      <c r="D522" s="69" t="s">
        <v>1293</v>
      </c>
    </row>
    <row r="523" spans="1:4" x14ac:dyDescent="0.25">
      <c r="A523" s="68" t="s">
        <v>1294</v>
      </c>
      <c r="B523" s="64" t="s">
        <v>964</v>
      </c>
      <c r="C523" s="67" t="s">
        <v>1265</v>
      </c>
      <c r="D523" s="69" t="s">
        <v>1295</v>
      </c>
    </row>
    <row r="524" spans="1:4" x14ac:dyDescent="0.25">
      <c r="A524" s="68" t="s">
        <v>1296</v>
      </c>
      <c r="B524" s="64" t="s">
        <v>964</v>
      </c>
      <c r="C524" s="67" t="s">
        <v>1265</v>
      </c>
      <c r="D524" s="69" t="s">
        <v>1297</v>
      </c>
    </row>
    <row r="525" spans="1:4" x14ac:dyDescent="0.25">
      <c r="A525" s="68" t="s">
        <v>1298</v>
      </c>
      <c r="B525" s="64" t="s">
        <v>964</v>
      </c>
      <c r="C525" s="67" t="s">
        <v>1265</v>
      </c>
      <c r="D525" s="69" t="s">
        <v>1299</v>
      </c>
    </row>
    <row r="526" spans="1:4" x14ac:dyDescent="0.25">
      <c r="A526" s="68" t="s">
        <v>1300</v>
      </c>
      <c r="B526" s="64" t="s">
        <v>964</v>
      </c>
      <c r="C526" s="67" t="s">
        <v>1265</v>
      </c>
      <c r="D526" s="69" t="s">
        <v>1301</v>
      </c>
    </row>
    <row r="527" spans="1:4" x14ac:dyDescent="0.25">
      <c r="A527" s="68" t="s">
        <v>1302</v>
      </c>
      <c r="B527" s="64" t="s">
        <v>964</v>
      </c>
      <c r="C527" s="67" t="s">
        <v>1265</v>
      </c>
      <c r="D527" s="69" t="s">
        <v>1303</v>
      </c>
    </row>
    <row r="528" spans="1:4" x14ac:dyDescent="0.25">
      <c r="A528" s="68" t="s">
        <v>1304</v>
      </c>
      <c r="B528" s="64" t="s">
        <v>964</v>
      </c>
      <c r="C528" s="67" t="s">
        <v>1265</v>
      </c>
      <c r="D528" s="69" t="s">
        <v>1305</v>
      </c>
    </row>
    <row r="529" spans="1:4" x14ac:dyDescent="0.25">
      <c r="A529" s="68" t="s">
        <v>1306</v>
      </c>
      <c r="B529" s="64" t="s">
        <v>964</v>
      </c>
      <c r="C529" s="67" t="s">
        <v>1265</v>
      </c>
      <c r="D529" s="69" t="s">
        <v>1307</v>
      </c>
    </row>
    <row r="530" spans="1:4" x14ac:dyDescent="0.25">
      <c r="A530" s="68" t="s">
        <v>1308</v>
      </c>
      <c r="B530" s="64" t="s">
        <v>964</v>
      </c>
      <c r="C530" s="67" t="s">
        <v>1265</v>
      </c>
      <c r="D530" s="69" t="s">
        <v>1309</v>
      </c>
    </row>
    <row r="531" spans="1:4" x14ac:dyDescent="0.25">
      <c r="A531" s="68" t="s">
        <v>1310</v>
      </c>
      <c r="B531" s="64" t="s">
        <v>964</v>
      </c>
      <c r="C531" s="67" t="s">
        <v>1265</v>
      </c>
      <c r="D531" s="69" t="s">
        <v>1311</v>
      </c>
    </row>
    <row r="532" spans="1:4" x14ac:dyDescent="0.25">
      <c r="A532" s="68" t="s">
        <v>1312</v>
      </c>
      <c r="B532" s="64" t="s">
        <v>964</v>
      </c>
      <c r="C532" s="67" t="s">
        <v>1265</v>
      </c>
      <c r="D532" s="69" t="s">
        <v>1313</v>
      </c>
    </row>
    <row r="533" spans="1:4" x14ac:dyDescent="0.25">
      <c r="A533" s="68" t="s">
        <v>1314</v>
      </c>
      <c r="B533" s="64" t="s">
        <v>964</v>
      </c>
      <c r="C533" s="67" t="s">
        <v>1265</v>
      </c>
      <c r="D533" s="69" t="s">
        <v>1315</v>
      </c>
    </row>
    <row r="534" spans="1:4" x14ac:dyDescent="0.25">
      <c r="A534" s="68" t="s">
        <v>1316</v>
      </c>
      <c r="B534" s="64" t="s">
        <v>964</v>
      </c>
      <c r="C534" s="67" t="s">
        <v>1265</v>
      </c>
      <c r="D534" s="69" t="s">
        <v>1317</v>
      </c>
    </row>
    <row r="535" spans="1:4" x14ac:dyDescent="0.25">
      <c r="A535" s="68" t="s">
        <v>1318</v>
      </c>
      <c r="B535" s="64" t="s">
        <v>964</v>
      </c>
      <c r="C535" s="67" t="s">
        <v>1265</v>
      </c>
      <c r="D535" s="69" t="s">
        <v>1319</v>
      </c>
    </row>
    <row r="536" spans="1:4" x14ac:dyDescent="0.25">
      <c r="A536" s="68" t="s">
        <v>1320</v>
      </c>
      <c r="B536" s="64" t="s">
        <v>964</v>
      </c>
      <c r="C536" s="67" t="s">
        <v>1265</v>
      </c>
      <c r="D536" s="69" t="s">
        <v>1321</v>
      </c>
    </row>
    <row r="537" spans="1:4" x14ac:dyDescent="0.25">
      <c r="A537" s="68" t="s">
        <v>1322</v>
      </c>
      <c r="B537" s="64" t="s">
        <v>964</v>
      </c>
      <c r="C537" s="67" t="s">
        <v>1265</v>
      </c>
      <c r="D537" s="69" t="s">
        <v>1323</v>
      </c>
    </row>
    <row r="538" spans="1:4" x14ac:dyDescent="0.25">
      <c r="A538" s="68" t="s">
        <v>1324</v>
      </c>
      <c r="B538" s="64" t="s">
        <v>964</v>
      </c>
      <c r="C538" s="67" t="s">
        <v>1265</v>
      </c>
      <c r="D538" s="69" t="s">
        <v>1325</v>
      </c>
    </row>
    <row r="539" spans="1:4" x14ac:dyDescent="0.25">
      <c r="A539" s="68" t="s">
        <v>1326</v>
      </c>
      <c r="B539" s="64" t="s">
        <v>964</v>
      </c>
      <c r="C539" s="67" t="s">
        <v>1265</v>
      </c>
      <c r="D539" s="69" t="s">
        <v>1327</v>
      </c>
    </row>
    <row r="540" spans="1:4" x14ac:dyDescent="0.25">
      <c r="A540" s="68" t="s">
        <v>1328</v>
      </c>
      <c r="B540" s="64" t="s">
        <v>964</v>
      </c>
      <c r="C540" s="67" t="s">
        <v>1265</v>
      </c>
      <c r="D540" s="69" t="s">
        <v>1329</v>
      </c>
    </row>
    <row r="541" spans="1:4" x14ac:dyDescent="0.25">
      <c r="A541" s="68" t="s">
        <v>1330</v>
      </c>
      <c r="B541" s="64" t="s">
        <v>964</v>
      </c>
      <c r="C541" s="67" t="s">
        <v>1265</v>
      </c>
      <c r="D541" s="69" t="s">
        <v>1331</v>
      </c>
    </row>
    <row r="542" spans="1:4" x14ac:dyDescent="0.25">
      <c r="A542" s="68" t="s">
        <v>1332</v>
      </c>
      <c r="B542" s="64" t="s">
        <v>964</v>
      </c>
      <c r="C542" s="67" t="s">
        <v>1265</v>
      </c>
      <c r="D542" s="69" t="s">
        <v>1333</v>
      </c>
    </row>
    <row r="543" spans="1:4" x14ac:dyDescent="0.25">
      <c r="A543" s="68" t="s">
        <v>1334</v>
      </c>
      <c r="B543" s="64" t="s">
        <v>964</v>
      </c>
      <c r="C543" s="67" t="s">
        <v>1265</v>
      </c>
      <c r="D543" s="69" t="s">
        <v>1335</v>
      </c>
    </row>
    <row r="544" spans="1:4" x14ac:dyDescent="0.25">
      <c r="A544" s="68" t="s">
        <v>1336</v>
      </c>
      <c r="B544" s="64" t="s">
        <v>964</v>
      </c>
      <c r="C544" s="67" t="s">
        <v>1265</v>
      </c>
      <c r="D544" s="69" t="s">
        <v>1337</v>
      </c>
    </row>
    <row r="545" spans="1:4" x14ac:dyDescent="0.25">
      <c r="A545" s="68" t="s">
        <v>1338</v>
      </c>
      <c r="B545" s="64" t="s">
        <v>964</v>
      </c>
      <c r="C545" s="67" t="s">
        <v>1265</v>
      </c>
      <c r="D545" s="69" t="s">
        <v>1339</v>
      </c>
    </row>
    <row r="546" spans="1:4" x14ac:dyDescent="0.25">
      <c r="A546" s="68" t="s">
        <v>1340</v>
      </c>
      <c r="B546" s="64" t="s">
        <v>964</v>
      </c>
      <c r="C546" s="67" t="s">
        <v>1265</v>
      </c>
      <c r="D546" s="69" t="s">
        <v>1341</v>
      </c>
    </row>
    <row r="547" spans="1:4" x14ac:dyDescent="0.25">
      <c r="A547" s="68" t="s">
        <v>1342</v>
      </c>
      <c r="B547" s="64" t="s">
        <v>964</v>
      </c>
      <c r="C547" s="67" t="s">
        <v>1265</v>
      </c>
      <c r="D547" s="69" t="s">
        <v>1343</v>
      </c>
    </row>
    <row r="548" spans="1:4" x14ac:dyDescent="0.25">
      <c r="A548" s="68" t="s">
        <v>1344</v>
      </c>
      <c r="B548" s="64" t="s">
        <v>964</v>
      </c>
      <c r="C548" s="67" t="s">
        <v>1265</v>
      </c>
      <c r="D548" s="73" t="s">
        <v>1345</v>
      </c>
    </row>
    <row r="549" spans="1:4" x14ac:dyDescent="0.25">
      <c r="A549" s="68" t="s">
        <v>1346</v>
      </c>
      <c r="B549" s="64" t="s">
        <v>964</v>
      </c>
      <c r="C549" s="67" t="s">
        <v>1265</v>
      </c>
      <c r="D549" s="69" t="s">
        <v>1347</v>
      </c>
    </row>
    <row r="550" spans="1:4" x14ac:dyDescent="0.25">
      <c r="A550" s="68" t="s">
        <v>1348</v>
      </c>
      <c r="B550" s="64" t="s">
        <v>964</v>
      </c>
      <c r="C550" s="67" t="s">
        <v>1265</v>
      </c>
      <c r="D550" s="69" t="s">
        <v>1349</v>
      </c>
    </row>
    <row r="551" spans="1:4" x14ac:dyDescent="0.25">
      <c r="A551" s="68" t="s">
        <v>1350</v>
      </c>
      <c r="B551" s="64" t="s">
        <v>964</v>
      </c>
      <c r="C551" s="67" t="s">
        <v>1265</v>
      </c>
      <c r="D551" s="69" t="s">
        <v>1351</v>
      </c>
    </row>
    <row r="552" spans="1:4" x14ac:dyDescent="0.25">
      <c r="A552" s="68" t="s">
        <v>1352</v>
      </c>
      <c r="B552" s="64" t="s">
        <v>964</v>
      </c>
      <c r="C552" s="67" t="s">
        <v>1265</v>
      </c>
      <c r="D552" s="69" t="s">
        <v>1353</v>
      </c>
    </row>
    <row r="553" spans="1:4" x14ac:dyDescent="0.25">
      <c r="A553" s="68" t="s">
        <v>1354</v>
      </c>
      <c r="B553" s="64" t="s">
        <v>964</v>
      </c>
      <c r="C553" s="67" t="s">
        <v>1265</v>
      </c>
      <c r="D553" s="69" t="s">
        <v>1355</v>
      </c>
    </row>
    <row r="554" spans="1:4" x14ac:dyDescent="0.25">
      <c r="A554" s="68" t="s">
        <v>1356</v>
      </c>
      <c r="B554" s="64" t="s">
        <v>964</v>
      </c>
      <c r="C554" s="67" t="s">
        <v>1265</v>
      </c>
      <c r="D554" s="69" t="s">
        <v>1357</v>
      </c>
    </row>
    <row r="555" spans="1:4" x14ac:dyDescent="0.25">
      <c r="A555" s="68" t="s">
        <v>1358</v>
      </c>
      <c r="B555" s="64" t="s">
        <v>964</v>
      </c>
      <c r="C555" s="67" t="s">
        <v>1265</v>
      </c>
      <c r="D555" s="69" t="s">
        <v>1359</v>
      </c>
    </row>
    <row r="556" spans="1:4" x14ac:dyDescent="0.25">
      <c r="A556" s="66" t="s">
        <v>1360</v>
      </c>
      <c r="B556" s="64" t="s">
        <v>964</v>
      </c>
      <c r="C556" s="67" t="s">
        <v>1361</v>
      </c>
      <c r="D556" s="67"/>
    </row>
    <row r="557" spans="1:4" x14ac:dyDescent="0.25">
      <c r="A557" s="68" t="s">
        <v>1362</v>
      </c>
      <c r="B557" s="64" t="s">
        <v>964</v>
      </c>
      <c r="C557" s="67" t="s">
        <v>1361</v>
      </c>
      <c r="D557" s="69" t="s">
        <v>1363</v>
      </c>
    </row>
    <row r="558" spans="1:4" x14ac:dyDescent="0.25">
      <c r="A558" s="68" t="s">
        <v>1364</v>
      </c>
      <c r="B558" s="64" t="s">
        <v>964</v>
      </c>
      <c r="C558" s="67" t="s">
        <v>1361</v>
      </c>
      <c r="D558" s="69" t="s">
        <v>1365</v>
      </c>
    </row>
    <row r="559" spans="1:4" x14ac:dyDescent="0.25">
      <c r="A559" s="68" t="s">
        <v>1366</v>
      </c>
      <c r="B559" s="64" t="s">
        <v>964</v>
      </c>
      <c r="C559" s="67" t="s">
        <v>1361</v>
      </c>
      <c r="D559" s="69" t="s">
        <v>1367</v>
      </c>
    </row>
    <row r="560" spans="1:4" x14ac:dyDescent="0.25">
      <c r="A560" s="68" t="s">
        <v>1368</v>
      </c>
      <c r="B560" s="64" t="s">
        <v>964</v>
      </c>
      <c r="C560" s="67" t="s">
        <v>1361</v>
      </c>
      <c r="D560" s="69" t="s">
        <v>1369</v>
      </c>
    </row>
    <row r="561" spans="1:4" x14ac:dyDescent="0.25">
      <c r="A561" s="68" t="s">
        <v>1370</v>
      </c>
      <c r="B561" s="64" t="s">
        <v>964</v>
      </c>
      <c r="C561" s="67" t="s">
        <v>1361</v>
      </c>
      <c r="D561" s="73" t="s">
        <v>1371</v>
      </c>
    </row>
    <row r="562" spans="1:4" x14ac:dyDescent="0.25">
      <c r="A562" s="68" t="s">
        <v>1372</v>
      </c>
      <c r="B562" s="64" t="s">
        <v>964</v>
      </c>
      <c r="C562" s="67" t="s">
        <v>1361</v>
      </c>
      <c r="D562" s="69" t="s">
        <v>1373</v>
      </c>
    </row>
    <row r="563" spans="1:4" x14ac:dyDescent="0.25">
      <c r="A563" s="68" t="s">
        <v>1374</v>
      </c>
      <c r="B563" s="64" t="s">
        <v>964</v>
      </c>
      <c r="C563" s="67" t="s">
        <v>1361</v>
      </c>
      <c r="D563" s="69" t="s">
        <v>1375</v>
      </c>
    </row>
    <row r="564" spans="1:4" x14ac:dyDescent="0.25">
      <c r="A564" s="68" t="s">
        <v>1376</v>
      </c>
      <c r="B564" s="64" t="s">
        <v>964</v>
      </c>
      <c r="C564" s="67" t="s">
        <v>1361</v>
      </c>
      <c r="D564" s="69" t="s">
        <v>1377</v>
      </c>
    </row>
    <row r="565" spans="1:4" x14ac:dyDescent="0.25">
      <c r="A565" s="66" t="s">
        <v>1378</v>
      </c>
      <c r="B565" s="64" t="s">
        <v>964</v>
      </c>
      <c r="C565" s="67" t="s">
        <v>1379</v>
      </c>
      <c r="D565" s="67"/>
    </row>
    <row r="566" spans="1:4" x14ac:dyDescent="0.25">
      <c r="A566" s="68" t="s">
        <v>1380</v>
      </c>
      <c r="B566" s="64" t="s">
        <v>964</v>
      </c>
      <c r="C566" s="67" t="s">
        <v>1379</v>
      </c>
      <c r="D566" s="69" t="s">
        <v>1381</v>
      </c>
    </row>
    <row r="567" spans="1:4" x14ac:dyDescent="0.25">
      <c r="A567" s="68" t="s">
        <v>1382</v>
      </c>
      <c r="B567" s="64" t="s">
        <v>964</v>
      </c>
      <c r="C567" s="67" t="s">
        <v>1379</v>
      </c>
      <c r="D567" s="69" t="s">
        <v>1383</v>
      </c>
    </row>
    <row r="568" spans="1:4" x14ac:dyDescent="0.25">
      <c r="A568" s="68" t="s">
        <v>1384</v>
      </c>
      <c r="B568" s="64" t="s">
        <v>964</v>
      </c>
      <c r="C568" s="67" t="s">
        <v>1379</v>
      </c>
      <c r="D568" s="69" t="s">
        <v>1385</v>
      </c>
    </row>
    <row r="569" spans="1:4" x14ac:dyDescent="0.25">
      <c r="A569" s="68" t="s">
        <v>1386</v>
      </c>
      <c r="B569" s="64" t="s">
        <v>964</v>
      </c>
      <c r="C569" s="67" t="s">
        <v>1379</v>
      </c>
      <c r="D569" s="69" t="s">
        <v>1387</v>
      </c>
    </row>
    <row r="570" spans="1:4" x14ac:dyDescent="0.25">
      <c r="A570" s="68" t="s">
        <v>1388</v>
      </c>
      <c r="B570" s="64" t="s">
        <v>964</v>
      </c>
      <c r="C570" s="67" t="s">
        <v>1379</v>
      </c>
      <c r="D570" s="69" t="s">
        <v>1389</v>
      </c>
    </row>
    <row r="571" spans="1:4" x14ac:dyDescent="0.25">
      <c r="A571" s="68" t="s">
        <v>1390</v>
      </c>
      <c r="B571" s="64" t="s">
        <v>964</v>
      </c>
      <c r="C571" s="67" t="s">
        <v>1379</v>
      </c>
      <c r="D571" s="69" t="s">
        <v>1391</v>
      </c>
    </row>
    <row r="572" spans="1:4" x14ac:dyDescent="0.25">
      <c r="A572" s="68" t="s">
        <v>1392</v>
      </c>
      <c r="B572" s="64" t="s">
        <v>964</v>
      </c>
      <c r="C572" s="67" t="s">
        <v>1379</v>
      </c>
      <c r="D572" s="69" t="s">
        <v>1393</v>
      </c>
    </row>
    <row r="573" spans="1:4" x14ac:dyDescent="0.25">
      <c r="A573" s="68" t="s">
        <v>1394</v>
      </c>
      <c r="B573" s="64" t="s">
        <v>964</v>
      </c>
      <c r="C573" s="67" t="s">
        <v>1379</v>
      </c>
      <c r="D573" s="69" t="s">
        <v>1395</v>
      </c>
    </row>
    <row r="574" spans="1:4" x14ac:dyDescent="0.25">
      <c r="A574" s="68" t="s">
        <v>1396</v>
      </c>
      <c r="B574" s="64" t="s">
        <v>964</v>
      </c>
      <c r="C574" s="67" t="s">
        <v>1379</v>
      </c>
      <c r="D574" s="69" t="s">
        <v>1397</v>
      </c>
    </row>
    <row r="575" spans="1:4" x14ac:dyDescent="0.25">
      <c r="A575" s="66" t="s">
        <v>1398</v>
      </c>
      <c r="B575" s="64" t="s">
        <v>964</v>
      </c>
      <c r="C575" s="67" t="s">
        <v>1399</v>
      </c>
      <c r="D575" s="67"/>
    </row>
    <row r="576" spans="1:4" x14ac:dyDescent="0.25">
      <c r="A576" s="68" t="s">
        <v>1400</v>
      </c>
      <c r="B576" s="64" t="s">
        <v>964</v>
      </c>
      <c r="C576" s="67" t="s">
        <v>1399</v>
      </c>
      <c r="D576" s="69" t="s">
        <v>1401</v>
      </c>
    </row>
    <row r="577" spans="1:4" x14ac:dyDescent="0.25">
      <c r="A577" s="68" t="s">
        <v>1402</v>
      </c>
      <c r="B577" s="64" t="s">
        <v>964</v>
      </c>
      <c r="C577" s="67" t="s">
        <v>1399</v>
      </c>
      <c r="D577" s="69" t="s">
        <v>1403</v>
      </c>
    </row>
    <row r="578" spans="1:4" x14ac:dyDescent="0.25">
      <c r="A578" s="68" t="s">
        <v>1404</v>
      </c>
      <c r="B578" s="64" t="s">
        <v>964</v>
      </c>
      <c r="C578" s="67" t="s">
        <v>1399</v>
      </c>
      <c r="D578" s="69" t="s">
        <v>1405</v>
      </c>
    </row>
    <row r="579" spans="1:4" x14ac:dyDescent="0.25">
      <c r="A579" s="68" t="s">
        <v>1406</v>
      </c>
      <c r="B579" s="64" t="s">
        <v>964</v>
      </c>
      <c r="C579" s="67" t="s">
        <v>1399</v>
      </c>
      <c r="D579" s="69" t="s">
        <v>1407</v>
      </c>
    </row>
    <row r="580" spans="1:4" x14ac:dyDescent="0.25">
      <c r="A580" s="68" t="s">
        <v>1408</v>
      </c>
      <c r="B580" s="64" t="s">
        <v>964</v>
      </c>
      <c r="C580" s="67" t="s">
        <v>1399</v>
      </c>
      <c r="D580" s="69" t="s">
        <v>1409</v>
      </c>
    </row>
    <row r="581" spans="1:4" x14ac:dyDescent="0.25">
      <c r="A581" s="68" t="s">
        <v>1410</v>
      </c>
      <c r="B581" s="64" t="s">
        <v>964</v>
      </c>
      <c r="C581" s="67" t="s">
        <v>1399</v>
      </c>
      <c r="D581" s="69" t="s">
        <v>1411</v>
      </c>
    </row>
    <row r="582" spans="1:4" x14ac:dyDescent="0.25">
      <c r="A582" s="68" t="s">
        <v>1412</v>
      </c>
      <c r="B582" s="64" t="s">
        <v>964</v>
      </c>
      <c r="C582" s="67" t="s">
        <v>1399</v>
      </c>
      <c r="D582" s="69" t="s">
        <v>1413</v>
      </c>
    </row>
    <row r="583" spans="1:4" x14ac:dyDescent="0.25">
      <c r="A583" s="66" t="s">
        <v>1414</v>
      </c>
      <c r="B583" s="64" t="s">
        <v>964</v>
      </c>
      <c r="C583" s="67" t="s">
        <v>1415</v>
      </c>
      <c r="D583" s="67"/>
    </row>
    <row r="584" spans="1:4" x14ac:dyDescent="0.25">
      <c r="A584" s="68" t="s">
        <v>1416</v>
      </c>
      <c r="B584" s="64" t="s">
        <v>964</v>
      </c>
      <c r="C584" s="67" t="s">
        <v>1415</v>
      </c>
      <c r="D584" s="69" t="s">
        <v>1417</v>
      </c>
    </row>
    <row r="585" spans="1:4" x14ac:dyDescent="0.25">
      <c r="A585" s="68" t="s">
        <v>1418</v>
      </c>
      <c r="B585" s="64" t="s">
        <v>964</v>
      </c>
      <c r="C585" s="67" t="s">
        <v>1415</v>
      </c>
      <c r="D585" s="69" t="s">
        <v>1419</v>
      </c>
    </row>
    <row r="586" spans="1:4" x14ac:dyDescent="0.25">
      <c r="A586" s="68" t="s">
        <v>1420</v>
      </c>
      <c r="B586" s="64" t="s">
        <v>964</v>
      </c>
      <c r="C586" s="67" t="s">
        <v>1415</v>
      </c>
      <c r="D586" s="69" t="s">
        <v>1421</v>
      </c>
    </row>
    <row r="587" spans="1:4" x14ac:dyDescent="0.25">
      <c r="A587" s="68" t="s">
        <v>1422</v>
      </c>
      <c r="B587" s="64" t="s">
        <v>964</v>
      </c>
      <c r="C587" s="67" t="s">
        <v>1415</v>
      </c>
      <c r="D587" s="69" t="s">
        <v>1423</v>
      </c>
    </row>
    <row r="588" spans="1:4" x14ac:dyDescent="0.25">
      <c r="A588" s="68" t="s">
        <v>1424</v>
      </c>
      <c r="B588" s="64" t="s">
        <v>964</v>
      </c>
      <c r="C588" s="67" t="s">
        <v>1415</v>
      </c>
      <c r="D588" s="69" t="s">
        <v>1425</v>
      </c>
    </row>
    <row r="589" spans="1:4" x14ac:dyDescent="0.25">
      <c r="A589" s="68" t="s">
        <v>1426</v>
      </c>
      <c r="B589" s="64" t="s">
        <v>964</v>
      </c>
      <c r="C589" s="67" t="s">
        <v>1415</v>
      </c>
      <c r="D589" s="69" t="s">
        <v>1427</v>
      </c>
    </row>
    <row r="590" spans="1:4" x14ac:dyDescent="0.25">
      <c r="A590" s="68" t="s">
        <v>1428</v>
      </c>
      <c r="B590" s="64" t="s">
        <v>964</v>
      </c>
      <c r="C590" s="67" t="s">
        <v>1415</v>
      </c>
      <c r="D590" s="69" t="s">
        <v>1429</v>
      </c>
    </row>
    <row r="591" spans="1:4" x14ac:dyDescent="0.25">
      <c r="A591" s="68" t="s">
        <v>1430</v>
      </c>
      <c r="B591" s="64" t="s">
        <v>964</v>
      </c>
      <c r="C591" s="67" t="s">
        <v>1415</v>
      </c>
      <c r="D591" s="69" t="s">
        <v>1431</v>
      </c>
    </row>
    <row r="592" spans="1:4" x14ac:dyDescent="0.25">
      <c r="A592" s="68" t="s">
        <v>1432</v>
      </c>
      <c r="B592" s="64" t="s">
        <v>964</v>
      </c>
      <c r="C592" s="67" t="s">
        <v>1415</v>
      </c>
      <c r="D592" s="69" t="s">
        <v>1433</v>
      </c>
    </row>
    <row r="593" spans="1:4" x14ac:dyDescent="0.25">
      <c r="A593" s="68" t="s">
        <v>1434</v>
      </c>
      <c r="B593" s="64" t="s">
        <v>964</v>
      </c>
      <c r="C593" s="67" t="s">
        <v>1415</v>
      </c>
      <c r="D593" s="69" t="s">
        <v>1435</v>
      </c>
    </row>
    <row r="594" spans="1:4" x14ac:dyDescent="0.25">
      <c r="A594" s="68" t="s">
        <v>1436</v>
      </c>
      <c r="B594" s="64" t="s">
        <v>964</v>
      </c>
      <c r="C594" s="67" t="s">
        <v>1415</v>
      </c>
      <c r="D594" s="69" t="s">
        <v>1437</v>
      </c>
    </row>
    <row r="595" spans="1:4" x14ac:dyDescent="0.25">
      <c r="A595" s="68" t="s">
        <v>1438</v>
      </c>
      <c r="B595" s="64" t="s">
        <v>964</v>
      </c>
      <c r="C595" s="67" t="s">
        <v>1415</v>
      </c>
      <c r="D595" s="69" t="s">
        <v>1439</v>
      </c>
    </row>
    <row r="596" spans="1:4" x14ac:dyDescent="0.25">
      <c r="A596" s="68" t="s">
        <v>1440</v>
      </c>
      <c r="B596" s="64" t="s">
        <v>964</v>
      </c>
      <c r="C596" s="67" t="s">
        <v>1415</v>
      </c>
      <c r="D596" s="69" t="s">
        <v>1441</v>
      </c>
    </row>
    <row r="597" spans="1:4" x14ac:dyDescent="0.25">
      <c r="A597" s="68" t="s">
        <v>1442</v>
      </c>
      <c r="B597" s="64" t="s">
        <v>964</v>
      </c>
      <c r="C597" s="67" t="s">
        <v>1415</v>
      </c>
      <c r="D597" s="73" t="s">
        <v>1443</v>
      </c>
    </row>
    <row r="598" spans="1:4" x14ac:dyDescent="0.25">
      <c r="A598" s="68" t="s">
        <v>1444</v>
      </c>
      <c r="B598" s="64" t="s">
        <v>964</v>
      </c>
      <c r="C598" s="67" t="s">
        <v>1415</v>
      </c>
      <c r="D598" s="73" t="s">
        <v>1445</v>
      </c>
    </row>
    <row r="599" spans="1:4" x14ac:dyDescent="0.25">
      <c r="A599" s="68" t="s">
        <v>1446</v>
      </c>
      <c r="B599" s="64" t="s">
        <v>964</v>
      </c>
      <c r="C599" s="67" t="s">
        <v>1415</v>
      </c>
      <c r="D599" s="69" t="s">
        <v>1447</v>
      </c>
    </row>
    <row r="600" spans="1:4" x14ac:dyDescent="0.25">
      <c r="A600" s="68" t="s">
        <v>1448</v>
      </c>
      <c r="B600" s="64" t="s">
        <v>964</v>
      </c>
      <c r="C600" s="67" t="s">
        <v>1415</v>
      </c>
      <c r="D600" s="69" t="s">
        <v>1449</v>
      </c>
    </row>
    <row r="601" spans="1:4" x14ac:dyDescent="0.25">
      <c r="A601" s="68" t="s">
        <v>1450</v>
      </c>
      <c r="B601" s="64" t="s">
        <v>964</v>
      </c>
      <c r="C601" s="67" t="s">
        <v>1415</v>
      </c>
      <c r="D601" s="69" t="s">
        <v>1451</v>
      </c>
    </row>
    <row r="602" spans="1:4" x14ac:dyDescent="0.25">
      <c r="A602" s="68" t="s">
        <v>1452</v>
      </c>
      <c r="B602" s="64" t="s">
        <v>964</v>
      </c>
      <c r="C602" s="67" t="s">
        <v>1415</v>
      </c>
      <c r="D602" s="69" t="s">
        <v>1453</v>
      </c>
    </row>
    <row r="603" spans="1:4" x14ac:dyDescent="0.25">
      <c r="A603" s="68" t="s">
        <v>1454</v>
      </c>
      <c r="B603" s="64" t="s">
        <v>964</v>
      </c>
      <c r="C603" s="67" t="s">
        <v>1415</v>
      </c>
      <c r="D603" s="69" t="s">
        <v>1455</v>
      </c>
    </row>
    <row r="604" spans="1:4" x14ac:dyDescent="0.25">
      <c r="A604" s="68" t="s">
        <v>1456</v>
      </c>
      <c r="B604" s="64" t="s">
        <v>964</v>
      </c>
      <c r="C604" s="67" t="s">
        <v>1415</v>
      </c>
      <c r="D604" s="69" t="s">
        <v>1457</v>
      </c>
    </row>
    <row r="605" spans="1:4" x14ac:dyDescent="0.25">
      <c r="A605" s="68" t="s">
        <v>1458</v>
      </c>
      <c r="B605" s="64" t="s">
        <v>964</v>
      </c>
      <c r="C605" s="67" t="s">
        <v>1415</v>
      </c>
      <c r="D605" s="69" t="s">
        <v>1459</v>
      </c>
    </row>
    <row r="606" spans="1:4" x14ac:dyDescent="0.25">
      <c r="A606" s="66" t="s">
        <v>1460</v>
      </c>
      <c r="B606" s="64" t="s">
        <v>964</v>
      </c>
      <c r="C606" s="67" t="s">
        <v>1461</v>
      </c>
      <c r="D606" s="67"/>
    </row>
    <row r="607" spans="1:4" x14ac:dyDescent="0.25">
      <c r="A607" s="68" t="s">
        <v>1462</v>
      </c>
      <c r="B607" s="64" t="s">
        <v>964</v>
      </c>
      <c r="C607" s="67" t="s">
        <v>1461</v>
      </c>
      <c r="D607" s="69" t="s">
        <v>1463</v>
      </c>
    </row>
    <row r="608" spans="1:4" x14ac:dyDescent="0.25">
      <c r="A608" s="68" t="s">
        <v>1464</v>
      </c>
      <c r="B608" s="64" t="s">
        <v>964</v>
      </c>
      <c r="C608" s="67" t="s">
        <v>1461</v>
      </c>
      <c r="D608" s="69" t="s">
        <v>1465</v>
      </c>
    </row>
    <row r="609" spans="1:4" x14ac:dyDescent="0.25">
      <c r="A609" s="68" t="s">
        <v>1466</v>
      </c>
      <c r="B609" s="64" t="s">
        <v>964</v>
      </c>
      <c r="C609" s="67" t="s">
        <v>1461</v>
      </c>
      <c r="D609" s="69" t="s">
        <v>1467</v>
      </c>
    </row>
    <row r="610" spans="1:4" x14ac:dyDescent="0.25">
      <c r="A610" s="68" t="s">
        <v>1468</v>
      </c>
      <c r="B610" s="64" t="s">
        <v>964</v>
      </c>
      <c r="C610" s="67" t="s">
        <v>1461</v>
      </c>
      <c r="D610" s="69" t="s">
        <v>1469</v>
      </c>
    </row>
    <row r="611" spans="1:4" x14ac:dyDescent="0.25">
      <c r="A611" s="68" t="s">
        <v>1470</v>
      </c>
      <c r="B611" s="64" t="s">
        <v>964</v>
      </c>
      <c r="C611" s="67" t="s">
        <v>1461</v>
      </c>
      <c r="D611" s="69" t="s">
        <v>1471</v>
      </c>
    </row>
    <row r="612" spans="1:4" x14ac:dyDescent="0.25">
      <c r="A612" s="68" t="s">
        <v>1472</v>
      </c>
      <c r="B612" s="64" t="s">
        <v>964</v>
      </c>
      <c r="C612" s="67" t="s">
        <v>1461</v>
      </c>
      <c r="D612" s="69" t="s">
        <v>1473</v>
      </c>
    </row>
    <row r="613" spans="1:4" x14ac:dyDescent="0.25">
      <c r="A613" s="68" t="s">
        <v>1474</v>
      </c>
      <c r="B613" s="64" t="s">
        <v>964</v>
      </c>
      <c r="C613" s="67" t="s">
        <v>1461</v>
      </c>
      <c r="D613" s="69" t="s">
        <v>1475</v>
      </c>
    </row>
    <row r="614" spans="1:4" x14ac:dyDescent="0.25">
      <c r="A614" s="68" t="s">
        <v>1476</v>
      </c>
      <c r="B614" s="64" t="s">
        <v>964</v>
      </c>
      <c r="C614" s="67" t="s">
        <v>1461</v>
      </c>
      <c r="D614" s="69" t="s">
        <v>1477</v>
      </c>
    </row>
    <row r="615" spans="1:4" x14ac:dyDescent="0.25">
      <c r="A615" s="68" t="s">
        <v>1478</v>
      </c>
      <c r="B615" s="64" t="s">
        <v>964</v>
      </c>
      <c r="C615" s="67" t="s">
        <v>1461</v>
      </c>
      <c r="D615" s="69" t="s">
        <v>1479</v>
      </c>
    </row>
    <row r="616" spans="1:4" x14ac:dyDescent="0.25">
      <c r="A616" s="68" t="s">
        <v>1480</v>
      </c>
      <c r="B616" s="64" t="s">
        <v>964</v>
      </c>
      <c r="C616" s="67" t="s">
        <v>1461</v>
      </c>
      <c r="D616" s="69" t="s">
        <v>1481</v>
      </c>
    </row>
    <row r="617" spans="1:4" x14ac:dyDescent="0.25">
      <c r="A617" s="68" t="s">
        <v>1482</v>
      </c>
      <c r="B617" s="64" t="s">
        <v>964</v>
      </c>
      <c r="C617" s="67" t="s">
        <v>1461</v>
      </c>
      <c r="D617" s="73" t="s">
        <v>1483</v>
      </c>
    </row>
    <row r="618" spans="1:4" x14ac:dyDescent="0.25">
      <c r="A618" s="68" t="s">
        <v>1484</v>
      </c>
      <c r="B618" s="64" t="s">
        <v>964</v>
      </c>
      <c r="C618" s="67" t="s">
        <v>1461</v>
      </c>
      <c r="D618" s="69" t="s">
        <v>1485</v>
      </c>
    </row>
    <row r="619" spans="1:4" x14ac:dyDescent="0.25">
      <c r="A619" s="68" t="s">
        <v>1486</v>
      </c>
      <c r="B619" s="64" t="s">
        <v>964</v>
      </c>
      <c r="C619" s="67" t="s">
        <v>1461</v>
      </c>
      <c r="D619" s="69" t="s">
        <v>1487</v>
      </c>
    </row>
    <row r="620" spans="1:4" x14ac:dyDescent="0.25">
      <c r="A620" s="68" t="s">
        <v>1488</v>
      </c>
      <c r="B620" s="64" t="s">
        <v>964</v>
      </c>
      <c r="C620" s="67" t="s">
        <v>1461</v>
      </c>
      <c r="D620" s="69" t="s">
        <v>1489</v>
      </c>
    </row>
    <row r="621" spans="1:4" x14ac:dyDescent="0.25">
      <c r="A621" s="74" t="s">
        <v>1490</v>
      </c>
      <c r="B621" s="64" t="s">
        <v>964</v>
      </c>
      <c r="C621" s="67" t="s">
        <v>1491</v>
      </c>
      <c r="D621" s="67"/>
    </row>
    <row r="622" spans="1:4" x14ac:dyDescent="0.25">
      <c r="A622" s="68" t="s">
        <v>1492</v>
      </c>
      <c r="B622" s="64" t="s">
        <v>964</v>
      </c>
      <c r="C622" s="67" t="s">
        <v>1491</v>
      </c>
      <c r="D622" s="69" t="s">
        <v>1493</v>
      </c>
    </row>
    <row r="623" spans="1:4" x14ac:dyDescent="0.25">
      <c r="A623" s="68" t="s">
        <v>1494</v>
      </c>
      <c r="B623" s="64" t="s">
        <v>964</v>
      </c>
      <c r="C623" s="67" t="s">
        <v>1491</v>
      </c>
      <c r="D623" s="69" t="s">
        <v>1495</v>
      </c>
    </row>
    <row r="624" spans="1:4" x14ac:dyDescent="0.25">
      <c r="A624" s="68" t="s">
        <v>1496</v>
      </c>
      <c r="B624" s="64" t="s">
        <v>964</v>
      </c>
      <c r="C624" s="67" t="s">
        <v>1491</v>
      </c>
      <c r="D624" s="69" t="s">
        <v>1497</v>
      </c>
    </row>
    <row r="625" spans="1:4" x14ac:dyDescent="0.25">
      <c r="A625" s="68" t="s">
        <v>1498</v>
      </c>
      <c r="B625" s="64" t="s">
        <v>964</v>
      </c>
      <c r="C625" s="67" t="s">
        <v>1491</v>
      </c>
      <c r="D625" s="69" t="s">
        <v>1499</v>
      </c>
    </row>
    <row r="626" spans="1:4" x14ac:dyDescent="0.25">
      <c r="A626" s="68" t="s">
        <v>1500</v>
      </c>
      <c r="B626" s="64" t="s">
        <v>964</v>
      </c>
      <c r="C626" s="67" t="s">
        <v>1491</v>
      </c>
      <c r="D626" s="69" t="s">
        <v>1501</v>
      </c>
    </row>
    <row r="627" spans="1:4" x14ac:dyDescent="0.25">
      <c r="A627" s="68" t="s">
        <v>1502</v>
      </c>
      <c r="B627" s="64" t="s">
        <v>964</v>
      </c>
      <c r="C627" s="67" t="s">
        <v>1491</v>
      </c>
      <c r="D627" s="69" t="s">
        <v>1503</v>
      </c>
    </row>
    <row r="628" spans="1:4" x14ac:dyDescent="0.25">
      <c r="A628" s="68" t="s">
        <v>1504</v>
      </c>
      <c r="B628" s="64" t="s">
        <v>964</v>
      </c>
      <c r="C628" s="67" t="s">
        <v>1491</v>
      </c>
      <c r="D628" s="69" t="s">
        <v>1505</v>
      </c>
    </row>
    <row r="629" spans="1:4" x14ac:dyDescent="0.25">
      <c r="A629" s="68" t="s">
        <v>1506</v>
      </c>
      <c r="B629" s="64" t="s">
        <v>964</v>
      </c>
      <c r="C629" s="67" t="s">
        <v>1491</v>
      </c>
      <c r="D629" s="69" t="s">
        <v>1507</v>
      </c>
    </row>
    <row r="630" spans="1:4" x14ac:dyDescent="0.25">
      <c r="A630" s="68" t="s">
        <v>1508</v>
      </c>
      <c r="B630" s="64" t="s">
        <v>964</v>
      </c>
      <c r="C630" s="67" t="s">
        <v>1491</v>
      </c>
      <c r="D630" s="69" t="s">
        <v>1509</v>
      </c>
    </row>
    <row r="631" spans="1:4" x14ac:dyDescent="0.25">
      <c r="A631" s="68" t="s">
        <v>1510</v>
      </c>
      <c r="B631" s="64" t="s">
        <v>964</v>
      </c>
      <c r="C631" s="67" t="s">
        <v>1491</v>
      </c>
      <c r="D631" s="69" t="s">
        <v>1511</v>
      </c>
    </row>
    <row r="632" spans="1:4" x14ac:dyDescent="0.25">
      <c r="A632" s="63" t="s">
        <v>1512</v>
      </c>
      <c r="B632" s="64" t="s">
        <v>1513</v>
      </c>
      <c r="C632" s="64"/>
      <c r="D632" s="64"/>
    </row>
    <row r="633" spans="1:4" x14ac:dyDescent="0.25">
      <c r="A633" s="66" t="s">
        <v>1514</v>
      </c>
      <c r="B633" s="64" t="s">
        <v>1513</v>
      </c>
      <c r="C633" s="67" t="s">
        <v>1513</v>
      </c>
      <c r="D633" s="67"/>
    </row>
    <row r="634" spans="1:4" x14ac:dyDescent="0.25">
      <c r="A634" s="68" t="s">
        <v>1515</v>
      </c>
      <c r="B634" s="64" t="s">
        <v>1513</v>
      </c>
      <c r="C634" s="67" t="s">
        <v>1513</v>
      </c>
      <c r="D634" s="69" t="s">
        <v>1516</v>
      </c>
    </row>
    <row r="635" spans="1:4" x14ac:dyDescent="0.25">
      <c r="A635" s="68" t="s">
        <v>1517</v>
      </c>
      <c r="B635" s="64" t="s">
        <v>1513</v>
      </c>
      <c r="C635" s="67" t="s">
        <v>1513</v>
      </c>
      <c r="D635" s="69" t="s">
        <v>1518</v>
      </c>
    </row>
    <row r="636" spans="1:4" x14ac:dyDescent="0.25">
      <c r="A636" s="68" t="s">
        <v>1519</v>
      </c>
      <c r="B636" s="64" t="s">
        <v>1513</v>
      </c>
      <c r="C636" s="67" t="s">
        <v>1513</v>
      </c>
      <c r="D636" s="69" t="s">
        <v>1520</v>
      </c>
    </row>
    <row r="637" spans="1:4" x14ac:dyDescent="0.25">
      <c r="A637" s="68" t="s">
        <v>1521</v>
      </c>
      <c r="B637" s="64" t="s">
        <v>1513</v>
      </c>
      <c r="C637" s="67" t="s">
        <v>1513</v>
      </c>
      <c r="D637" s="69" t="s">
        <v>1522</v>
      </c>
    </row>
    <row r="638" spans="1:4" x14ac:dyDescent="0.25">
      <c r="A638" s="66" t="s">
        <v>1523</v>
      </c>
      <c r="B638" s="64" t="s">
        <v>1513</v>
      </c>
      <c r="C638" s="67" t="s">
        <v>1524</v>
      </c>
      <c r="D638" s="67"/>
    </row>
    <row r="639" spans="1:4" x14ac:dyDescent="0.25">
      <c r="A639" s="68" t="s">
        <v>1525</v>
      </c>
      <c r="B639" s="64" t="s">
        <v>1513</v>
      </c>
      <c r="C639" s="67" t="s">
        <v>1524</v>
      </c>
      <c r="D639" s="69" t="s">
        <v>1526</v>
      </c>
    </row>
    <row r="640" spans="1:4" x14ac:dyDescent="0.25">
      <c r="A640" s="68" t="s">
        <v>1527</v>
      </c>
      <c r="B640" s="64" t="s">
        <v>1513</v>
      </c>
      <c r="C640" s="67" t="s">
        <v>1524</v>
      </c>
      <c r="D640" s="69" t="s">
        <v>1528</v>
      </c>
    </row>
    <row r="641" spans="1:4" x14ac:dyDescent="0.25">
      <c r="A641" s="68" t="s">
        <v>1529</v>
      </c>
      <c r="B641" s="64" t="s">
        <v>1513</v>
      </c>
      <c r="C641" s="67" t="s">
        <v>1524</v>
      </c>
      <c r="D641" s="69" t="s">
        <v>1530</v>
      </c>
    </row>
  </sheetData>
  <autoFilter ref="A2:D64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C32A-38C7-4644-AE2A-A6EEFA3D04E1}">
  <dimension ref="A1:F944"/>
  <sheetViews>
    <sheetView zoomScale="85" zoomScaleNormal="85" workbookViewId="0">
      <pane ySplit="2" topLeftCell="A207" activePane="bottomLeft" state="frozen"/>
      <selection activeCell="B319" sqref="B319"/>
      <selection pane="bottomLeft" activeCell="A221" sqref="A221"/>
    </sheetView>
  </sheetViews>
  <sheetFormatPr defaultRowHeight="12.75" x14ac:dyDescent="0.25"/>
  <cols>
    <col min="1" max="1" width="13.85546875" style="75" bestFit="1" customWidth="1"/>
    <col min="2" max="2" width="41" style="75" bestFit="1" customWidth="1"/>
    <col min="3" max="3" width="70.28515625" style="75" bestFit="1" customWidth="1"/>
    <col min="4" max="4" width="48.7109375" style="75" bestFit="1" customWidth="1"/>
    <col min="5" max="5" width="51.42578125" style="75" bestFit="1" customWidth="1"/>
    <col min="6" max="6" width="30.5703125" style="75" bestFit="1" customWidth="1"/>
    <col min="7" max="16384" width="9.140625" style="75"/>
  </cols>
  <sheetData>
    <row r="1" spans="1:6" x14ac:dyDescent="0.25">
      <c r="A1" s="162" t="s">
        <v>1531</v>
      </c>
      <c r="B1" s="162"/>
      <c r="C1" s="162"/>
      <c r="D1" s="162"/>
      <c r="E1" s="162"/>
      <c r="F1" s="162"/>
    </row>
    <row r="2" spans="1:6" x14ac:dyDescent="0.25">
      <c r="A2" s="76" t="s">
        <v>287</v>
      </c>
      <c r="B2" s="77" t="s">
        <v>1532</v>
      </c>
      <c r="C2" s="77" t="s">
        <v>1533</v>
      </c>
      <c r="D2" s="76" t="s">
        <v>1534</v>
      </c>
      <c r="E2" s="76" t="s">
        <v>1535</v>
      </c>
      <c r="F2" s="76" t="s">
        <v>1536</v>
      </c>
    </row>
    <row r="3" spans="1:6" x14ac:dyDescent="0.25">
      <c r="A3" s="78" t="s">
        <v>1537</v>
      </c>
      <c r="B3" s="79" t="s">
        <v>1538</v>
      </c>
      <c r="C3" s="79"/>
      <c r="D3" s="79"/>
      <c r="E3" s="79"/>
      <c r="F3" s="79"/>
    </row>
    <row r="4" spans="1:6" x14ac:dyDescent="0.25">
      <c r="A4" s="80" t="s">
        <v>1539</v>
      </c>
      <c r="B4" s="79" t="s">
        <v>1538</v>
      </c>
      <c r="C4" s="81" t="s">
        <v>1540</v>
      </c>
      <c r="D4" s="81"/>
      <c r="E4" s="81"/>
      <c r="F4" s="81"/>
    </row>
    <row r="5" spans="1:6" x14ac:dyDescent="0.25">
      <c r="A5" s="82" t="s">
        <v>1541</v>
      </c>
      <c r="B5" s="79" t="s">
        <v>1538</v>
      </c>
      <c r="C5" s="81" t="s">
        <v>1540</v>
      </c>
      <c r="D5" s="83" t="s">
        <v>1542</v>
      </c>
      <c r="E5" s="83"/>
      <c r="F5" s="84" t="s">
        <v>1543</v>
      </c>
    </row>
    <row r="6" spans="1:6" x14ac:dyDescent="0.25">
      <c r="A6" s="85" t="s">
        <v>1544</v>
      </c>
      <c r="B6" s="79" t="s">
        <v>1538</v>
      </c>
      <c r="C6" s="81" t="s">
        <v>1540</v>
      </c>
      <c r="D6" s="83" t="s">
        <v>1542</v>
      </c>
      <c r="E6" s="86" t="s">
        <v>1545</v>
      </c>
      <c r="F6" s="85" t="s">
        <v>1543</v>
      </c>
    </row>
    <row r="7" spans="1:6" x14ac:dyDescent="0.25">
      <c r="A7" s="85" t="s">
        <v>1546</v>
      </c>
      <c r="B7" s="79" t="s">
        <v>1538</v>
      </c>
      <c r="C7" s="81" t="s">
        <v>1540</v>
      </c>
      <c r="D7" s="83" t="s">
        <v>1542</v>
      </c>
      <c r="E7" s="86" t="s">
        <v>1547</v>
      </c>
      <c r="F7" s="85" t="s">
        <v>1543</v>
      </c>
    </row>
    <row r="8" spans="1:6" x14ac:dyDescent="0.25">
      <c r="A8" s="85" t="s">
        <v>1548</v>
      </c>
      <c r="B8" s="79" t="s">
        <v>1538</v>
      </c>
      <c r="C8" s="81" t="s">
        <v>1540</v>
      </c>
      <c r="D8" s="83" t="s">
        <v>1542</v>
      </c>
      <c r="E8" s="86" t="s">
        <v>1549</v>
      </c>
      <c r="F8" s="85" t="s">
        <v>1543</v>
      </c>
    </row>
    <row r="9" spans="1:6" x14ac:dyDescent="0.25">
      <c r="A9" s="85" t="s">
        <v>1550</v>
      </c>
      <c r="B9" s="79" t="s">
        <v>1538</v>
      </c>
      <c r="C9" s="81" t="s">
        <v>1540</v>
      </c>
      <c r="D9" s="83" t="s">
        <v>1542</v>
      </c>
      <c r="E9" s="86" t="s">
        <v>1551</v>
      </c>
      <c r="F9" s="85" t="s">
        <v>1543</v>
      </c>
    </row>
    <row r="10" spans="1:6" x14ac:dyDescent="0.25">
      <c r="A10" s="85" t="s">
        <v>1552</v>
      </c>
      <c r="B10" s="79" t="s">
        <v>1538</v>
      </c>
      <c r="C10" s="81" t="s">
        <v>1540</v>
      </c>
      <c r="D10" s="83" t="s">
        <v>1542</v>
      </c>
      <c r="E10" s="86" t="s">
        <v>1553</v>
      </c>
      <c r="F10" s="85" t="s">
        <v>1543</v>
      </c>
    </row>
    <row r="11" spans="1:6" x14ac:dyDescent="0.25">
      <c r="A11" s="82" t="s">
        <v>1554</v>
      </c>
      <c r="B11" s="79" t="s">
        <v>1538</v>
      </c>
      <c r="C11" s="81" t="s">
        <v>1540</v>
      </c>
      <c r="D11" s="83" t="s">
        <v>1555</v>
      </c>
      <c r="E11" s="83"/>
      <c r="F11" s="84" t="s">
        <v>1556</v>
      </c>
    </row>
    <row r="12" spans="1:6" x14ac:dyDescent="0.25">
      <c r="A12" s="85" t="s">
        <v>1557</v>
      </c>
      <c r="B12" s="79" t="s">
        <v>1538</v>
      </c>
      <c r="C12" s="81" t="s">
        <v>1540</v>
      </c>
      <c r="D12" s="83" t="s">
        <v>1555</v>
      </c>
      <c r="E12" s="86" t="s">
        <v>1558</v>
      </c>
      <c r="F12" s="85" t="s">
        <v>1556</v>
      </c>
    </row>
    <row r="13" spans="1:6" x14ac:dyDescent="0.25">
      <c r="A13" s="85" t="s">
        <v>1559</v>
      </c>
      <c r="B13" s="79" t="s">
        <v>1538</v>
      </c>
      <c r="C13" s="81" t="s">
        <v>1540</v>
      </c>
      <c r="D13" s="83" t="s">
        <v>1555</v>
      </c>
      <c r="E13" s="86" t="s">
        <v>1560</v>
      </c>
      <c r="F13" s="85" t="s">
        <v>1556</v>
      </c>
    </row>
    <row r="14" spans="1:6" x14ac:dyDescent="0.25">
      <c r="A14" s="85" t="s">
        <v>1561</v>
      </c>
      <c r="B14" s="79" t="s">
        <v>1538</v>
      </c>
      <c r="C14" s="81" t="s">
        <v>1540</v>
      </c>
      <c r="D14" s="83" t="s">
        <v>1555</v>
      </c>
      <c r="E14" s="86" t="s">
        <v>1562</v>
      </c>
      <c r="F14" s="85" t="s">
        <v>1556</v>
      </c>
    </row>
    <row r="15" spans="1:6" x14ac:dyDescent="0.25">
      <c r="A15" s="85" t="s">
        <v>1563</v>
      </c>
      <c r="B15" s="79" t="s">
        <v>1538</v>
      </c>
      <c r="C15" s="81" t="s">
        <v>1540</v>
      </c>
      <c r="D15" s="83" t="s">
        <v>1555</v>
      </c>
      <c r="E15" s="86" t="s">
        <v>1564</v>
      </c>
      <c r="F15" s="85" t="s">
        <v>142</v>
      </c>
    </row>
    <row r="16" spans="1:6" x14ac:dyDescent="0.25">
      <c r="A16" s="82" t="s">
        <v>1565</v>
      </c>
      <c r="B16" s="79" t="s">
        <v>1538</v>
      </c>
      <c r="C16" s="81" t="s">
        <v>1540</v>
      </c>
      <c r="D16" s="83" t="s">
        <v>1566</v>
      </c>
      <c r="E16" s="83"/>
      <c r="F16" s="84" t="s">
        <v>1556</v>
      </c>
    </row>
    <row r="17" spans="1:6" x14ac:dyDescent="0.25">
      <c r="A17" s="85" t="s">
        <v>1567</v>
      </c>
      <c r="B17" s="79" t="s">
        <v>1538</v>
      </c>
      <c r="C17" s="81" t="s">
        <v>1540</v>
      </c>
      <c r="D17" s="83" t="s">
        <v>1566</v>
      </c>
      <c r="E17" s="86" t="s">
        <v>1568</v>
      </c>
      <c r="F17" s="85" t="s">
        <v>1556</v>
      </c>
    </row>
    <row r="18" spans="1:6" x14ac:dyDescent="0.25">
      <c r="A18" s="85" t="s">
        <v>1569</v>
      </c>
      <c r="B18" s="79" t="s">
        <v>1538</v>
      </c>
      <c r="C18" s="81" t="s">
        <v>1540</v>
      </c>
      <c r="D18" s="83" t="s">
        <v>1566</v>
      </c>
      <c r="E18" s="86" t="s">
        <v>1570</v>
      </c>
      <c r="F18" s="85" t="s">
        <v>1556</v>
      </c>
    </row>
    <row r="19" spans="1:6" x14ac:dyDescent="0.25">
      <c r="A19" s="85" t="s">
        <v>1571</v>
      </c>
      <c r="B19" s="79" t="s">
        <v>1538</v>
      </c>
      <c r="C19" s="81" t="s">
        <v>1540</v>
      </c>
      <c r="D19" s="83" t="s">
        <v>1566</v>
      </c>
      <c r="E19" s="86" t="s">
        <v>1572</v>
      </c>
      <c r="F19" s="85" t="s">
        <v>1556</v>
      </c>
    </row>
    <row r="20" spans="1:6" x14ac:dyDescent="0.25">
      <c r="A20" s="85" t="s">
        <v>1573</v>
      </c>
      <c r="B20" s="79" t="s">
        <v>1538</v>
      </c>
      <c r="C20" s="81" t="s">
        <v>1540</v>
      </c>
      <c r="D20" s="83" t="s">
        <v>1566</v>
      </c>
      <c r="E20" s="86" t="s">
        <v>1574</v>
      </c>
      <c r="F20" s="85" t="s">
        <v>142</v>
      </c>
    </row>
    <row r="21" spans="1:6" x14ac:dyDescent="0.25">
      <c r="A21" s="82" t="s">
        <v>1575</v>
      </c>
      <c r="B21" s="79" t="s">
        <v>1538</v>
      </c>
      <c r="C21" s="81" t="s">
        <v>1540</v>
      </c>
      <c r="D21" s="83" t="s">
        <v>1576</v>
      </c>
      <c r="E21" s="83"/>
      <c r="F21" s="84" t="s">
        <v>1556</v>
      </c>
    </row>
    <row r="22" spans="1:6" x14ac:dyDescent="0.25">
      <c r="A22" s="85" t="s">
        <v>1577</v>
      </c>
      <c r="B22" s="79" t="s">
        <v>1538</v>
      </c>
      <c r="C22" s="81" t="s">
        <v>1540</v>
      </c>
      <c r="D22" s="83" t="s">
        <v>1576</v>
      </c>
      <c r="E22" s="86" t="s">
        <v>1578</v>
      </c>
      <c r="F22" s="85" t="s">
        <v>1556</v>
      </c>
    </row>
    <row r="23" spans="1:6" x14ac:dyDescent="0.25">
      <c r="A23" s="85" t="s">
        <v>1579</v>
      </c>
      <c r="B23" s="79" t="s">
        <v>1538</v>
      </c>
      <c r="C23" s="81" t="s">
        <v>1540</v>
      </c>
      <c r="D23" s="83" t="s">
        <v>1576</v>
      </c>
      <c r="E23" s="86" t="s">
        <v>1580</v>
      </c>
      <c r="F23" s="85" t="s">
        <v>1556</v>
      </c>
    </row>
    <row r="24" spans="1:6" x14ac:dyDescent="0.25">
      <c r="A24" s="85" t="s">
        <v>1581</v>
      </c>
      <c r="B24" s="79" t="s">
        <v>1538</v>
      </c>
      <c r="C24" s="81" t="s">
        <v>1540</v>
      </c>
      <c r="D24" s="83" t="s">
        <v>1576</v>
      </c>
      <c r="E24" s="86" t="s">
        <v>1582</v>
      </c>
      <c r="F24" s="85" t="s">
        <v>1556</v>
      </c>
    </row>
    <row r="25" spans="1:6" x14ac:dyDescent="0.2">
      <c r="A25" s="85" t="s">
        <v>1583</v>
      </c>
      <c r="B25" s="79" t="s">
        <v>1538</v>
      </c>
      <c r="C25" s="81" t="s">
        <v>1540</v>
      </c>
      <c r="D25" s="85" t="s">
        <v>1584</v>
      </c>
      <c r="E25" s="87"/>
      <c r="F25" s="85" t="s">
        <v>142</v>
      </c>
    </row>
    <row r="26" spans="1:6" x14ac:dyDescent="0.2">
      <c r="A26" s="85" t="s">
        <v>1585</v>
      </c>
      <c r="B26" s="79" t="s">
        <v>1538</v>
      </c>
      <c r="C26" s="81" t="s">
        <v>1540</v>
      </c>
      <c r="D26" s="85" t="s">
        <v>1586</v>
      </c>
      <c r="E26" s="87"/>
      <c r="F26" s="85" t="s">
        <v>1556</v>
      </c>
    </row>
    <row r="27" spans="1:6" x14ac:dyDescent="0.2">
      <c r="A27" s="85" t="s">
        <v>1587</v>
      </c>
      <c r="B27" s="79" t="s">
        <v>1538</v>
      </c>
      <c r="C27" s="81" t="s">
        <v>1540</v>
      </c>
      <c r="D27" s="85" t="s">
        <v>1588</v>
      </c>
      <c r="E27" s="87"/>
      <c r="F27" s="85" t="s">
        <v>142</v>
      </c>
    </row>
    <row r="28" spans="1:6" x14ac:dyDescent="0.2">
      <c r="A28" s="85" t="s">
        <v>1589</v>
      </c>
      <c r="B28" s="79" t="s">
        <v>1538</v>
      </c>
      <c r="C28" s="81" t="s">
        <v>1540</v>
      </c>
      <c r="D28" s="85" t="s">
        <v>1590</v>
      </c>
      <c r="E28" s="87"/>
      <c r="F28" s="85" t="s">
        <v>1556</v>
      </c>
    </row>
    <row r="29" spans="1:6" x14ac:dyDescent="0.25">
      <c r="A29" s="80" t="s">
        <v>1591</v>
      </c>
      <c r="B29" s="79" t="s">
        <v>1538</v>
      </c>
      <c r="C29" s="81" t="s">
        <v>1592</v>
      </c>
      <c r="D29" s="81"/>
      <c r="E29" s="81"/>
      <c r="F29" s="81"/>
    </row>
    <row r="30" spans="1:6" x14ac:dyDescent="0.2">
      <c r="A30" s="85" t="s">
        <v>1593</v>
      </c>
      <c r="B30" s="79" t="s">
        <v>1538</v>
      </c>
      <c r="C30" s="81" t="s">
        <v>1592</v>
      </c>
      <c r="D30" s="85" t="s">
        <v>1594</v>
      </c>
      <c r="E30" s="87"/>
      <c r="F30" s="85" t="s">
        <v>109</v>
      </c>
    </row>
    <row r="31" spans="1:6" x14ac:dyDescent="0.2">
      <c r="A31" s="85" t="s">
        <v>1595</v>
      </c>
      <c r="B31" s="79" t="s">
        <v>1538</v>
      </c>
      <c r="C31" s="81" t="s">
        <v>1592</v>
      </c>
      <c r="D31" s="85" t="s">
        <v>1596</v>
      </c>
      <c r="E31" s="87"/>
      <c r="F31" s="85" t="s">
        <v>1543</v>
      </c>
    </row>
    <row r="32" spans="1:6" x14ac:dyDescent="0.2">
      <c r="A32" s="85" t="s">
        <v>1597</v>
      </c>
      <c r="B32" s="79" t="s">
        <v>1538</v>
      </c>
      <c r="C32" s="81" t="s">
        <v>1592</v>
      </c>
      <c r="D32" s="85" t="s">
        <v>1598</v>
      </c>
      <c r="E32" s="87"/>
      <c r="F32" s="85" t="s">
        <v>1543</v>
      </c>
    </row>
    <row r="33" spans="1:6" x14ac:dyDescent="0.2">
      <c r="A33" s="85" t="s">
        <v>1599</v>
      </c>
      <c r="B33" s="79" t="s">
        <v>1538</v>
      </c>
      <c r="C33" s="81" t="s">
        <v>1592</v>
      </c>
      <c r="D33" s="85" t="s">
        <v>1600</v>
      </c>
      <c r="E33" s="87"/>
      <c r="F33" s="85" t="s">
        <v>109</v>
      </c>
    </row>
    <row r="34" spans="1:6" x14ac:dyDescent="0.2">
      <c r="A34" s="85" t="s">
        <v>1601</v>
      </c>
      <c r="B34" s="79" t="s">
        <v>1538</v>
      </c>
      <c r="C34" s="81" t="s">
        <v>1592</v>
      </c>
      <c r="D34" s="85" t="s">
        <v>1602</v>
      </c>
      <c r="E34" s="87"/>
      <c r="F34" s="85" t="s">
        <v>109</v>
      </c>
    </row>
    <row r="35" spans="1:6" x14ac:dyDescent="0.25">
      <c r="A35" s="80" t="s">
        <v>1603</v>
      </c>
      <c r="B35" s="79" t="s">
        <v>1538</v>
      </c>
      <c r="C35" s="81" t="s">
        <v>1604</v>
      </c>
      <c r="D35" s="81"/>
      <c r="E35" s="81"/>
      <c r="F35" s="81"/>
    </row>
    <row r="36" spans="1:6" x14ac:dyDescent="0.2">
      <c r="A36" s="85" t="s">
        <v>1605</v>
      </c>
      <c r="B36" s="79" t="s">
        <v>1538</v>
      </c>
      <c r="C36" s="81" t="s">
        <v>1604</v>
      </c>
      <c r="D36" s="85" t="s">
        <v>1606</v>
      </c>
      <c r="E36" s="87"/>
      <c r="F36" s="85" t="s">
        <v>1607</v>
      </c>
    </row>
    <row r="37" spans="1:6" x14ac:dyDescent="0.2">
      <c r="A37" s="85" t="s">
        <v>1608</v>
      </c>
      <c r="B37" s="79" t="s">
        <v>1538</v>
      </c>
      <c r="C37" s="81" t="s">
        <v>1604</v>
      </c>
      <c r="D37" s="85" t="s">
        <v>1609</v>
      </c>
      <c r="E37" s="87"/>
      <c r="F37" s="85" t="s">
        <v>1607</v>
      </c>
    </row>
    <row r="38" spans="1:6" x14ac:dyDescent="0.2">
      <c r="A38" s="85" t="s">
        <v>1610</v>
      </c>
      <c r="B38" s="79" t="s">
        <v>1538</v>
      </c>
      <c r="C38" s="81" t="s">
        <v>1604</v>
      </c>
      <c r="D38" s="85" t="s">
        <v>1611</v>
      </c>
      <c r="E38" s="87"/>
      <c r="F38" s="85" t="s">
        <v>1607</v>
      </c>
    </row>
    <row r="39" spans="1:6" x14ac:dyDescent="0.2">
      <c r="A39" s="85" t="s">
        <v>1612</v>
      </c>
      <c r="B39" s="79" t="s">
        <v>1538</v>
      </c>
      <c r="C39" s="81" t="s">
        <v>1604</v>
      </c>
      <c r="D39" s="85" t="s">
        <v>1613</v>
      </c>
      <c r="E39" s="87"/>
      <c r="F39" s="85" t="s">
        <v>1607</v>
      </c>
    </row>
    <row r="40" spans="1:6" x14ac:dyDescent="0.2">
      <c r="A40" s="85" t="s">
        <v>1614</v>
      </c>
      <c r="B40" s="79" t="s">
        <v>1538</v>
      </c>
      <c r="C40" s="81" t="s">
        <v>1604</v>
      </c>
      <c r="D40" s="85" t="s">
        <v>1615</v>
      </c>
      <c r="E40" s="87"/>
      <c r="F40" s="85" t="s">
        <v>1607</v>
      </c>
    </row>
    <row r="41" spans="1:6" x14ac:dyDescent="0.2">
      <c r="A41" s="85" t="s">
        <v>1616</v>
      </c>
      <c r="B41" s="79" t="s">
        <v>1538</v>
      </c>
      <c r="C41" s="81" t="s">
        <v>1604</v>
      </c>
      <c r="D41" s="85" t="s">
        <v>1617</v>
      </c>
      <c r="E41" s="87"/>
      <c r="F41" s="85" t="s">
        <v>1607</v>
      </c>
    </row>
    <row r="42" spans="1:6" x14ac:dyDescent="0.25">
      <c r="A42" s="88" t="s">
        <v>1618</v>
      </c>
      <c r="B42" s="79" t="s">
        <v>1538</v>
      </c>
      <c r="C42" s="89" t="s">
        <v>1619</v>
      </c>
      <c r="D42" s="89"/>
      <c r="E42" s="89"/>
      <c r="F42" s="89"/>
    </row>
    <row r="43" spans="1:6" x14ac:dyDescent="0.2">
      <c r="A43" s="85" t="s">
        <v>1620</v>
      </c>
      <c r="B43" s="79" t="s">
        <v>1538</v>
      </c>
      <c r="C43" s="89" t="s">
        <v>1619</v>
      </c>
      <c r="D43" s="85" t="s">
        <v>1621</v>
      </c>
      <c r="E43" s="87"/>
      <c r="F43" s="85" t="s">
        <v>1622</v>
      </c>
    </row>
    <row r="44" spans="1:6" x14ac:dyDescent="0.2">
      <c r="A44" s="85" t="s">
        <v>1623</v>
      </c>
      <c r="B44" s="79" t="s">
        <v>1538</v>
      </c>
      <c r="C44" s="89" t="s">
        <v>1619</v>
      </c>
      <c r="D44" s="85" t="s">
        <v>1624</v>
      </c>
      <c r="E44" s="87"/>
      <c r="F44" s="85" t="s">
        <v>1622</v>
      </c>
    </row>
    <row r="45" spans="1:6" x14ac:dyDescent="0.2">
      <c r="A45" s="85" t="s">
        <v>1625</v>
      </c>
      <c r="B45" s="79" t="s">
        <v>1538</v>
      </c>
      <c r="C45" s="89" t="s">
        <v>1619</v>
      </c>
      <c r="D45" s="85" t="s">
        <v>1626</v>
      </c>
      <c r="E45" s="87"/>
      <c r="F45" s="85" t="s">
        <v>1622</v>
      </c>
    </row>
    <row r="46" spans="1:6" x14ac:dyDescent="0.2">
      <c r="A46" s="85" t="s">
        <v>1627</v>
      </c>
      <c r="B46" s="79" t="s">
        <v>1538</v>
      </c>
      <c r="C46" s="89" t="s">
        <v>1619</v>
      </c>
      <c r="D46" s="85" t="s">
        <v>1628</v>
      </c>
      <c r="E46" s="87"/>
      <c r="F46" s="85" t="s">
        <v>142</v>
      </c>
    </row>
    <row r="47" spans="1:6" x14ac:dyDescent="0.25">
      <c r="A47" s="88" t="s">
        <v>1629</v>
      </c>
      <c r="B47" s="79" t="s">
        <v>1538</v>
      </c>
      <c r="C47" s="89" t="s">
        <v>1630</v>
      </c>
      <c r="D47" s="89"/>
      <c r="E47" s="89"/>
      <c r="F47" s="89"/>
    </row>
    <row r="48" spans="1:6" x14ac:dyDescent="0.2">
      <c r="A48" s="85" t="s">
        <v>1631</v>
      </c>
      <c r="B48" s="79" t="s">
        <v>1538</v>
      </c>
      <c r="C48" s="89" t="s">
        <v>1630</v>
      </c>
      <c r="D48" s="85" t="s">
        <v>1632</v>
      </c>
      <c r="E48" s="87"/>
      <c r="F48" s="85" t="s">
        <v>1633</v>
      </c>
    </row>
    <row r="49" spans="1:6" x14ac:dyDescent="0.2">
      <c r="A49" s="85" t="s">
        <v>1634</v>
      </c>
      <c r="B49" s="79" t="s">
        <v>1538</v>
      </c>
      <c r="C49" s="89" t="s">
        <v>1630</v>
      </c>
      <c r="D49" s="85" t="s">
        <v>1635</v>
      </c>
      <c r="E49" s="87"/>
      <c r="F49" s="85" t="s">
        <v>1633</v>
      </c>
    </row>
    <row r="50" spans="1:6" x14ac:dyDescent="0.2">
      <c r="A50" s="85" t="s">
        <v>1636</v>
      </c>
      <c r="B50" s="79" t="s">
        <v>1538</v>
      </c>
      <c r="C50" s="89" t="s">
        <v>1630</v>
      </c>
      <c r="D50" s="85" t="s">
        <v>1637</v>
      </c>
      <c r="E50" s="87"/>
      <c r="F50" s="85" t="s">
        <v>1633</v>
      </c>
    </row>
    <row r="51" spans="1:6" x14ac:dyDescent="0.2">
      <c r="A51" s="85" t="s">
        <v>1638</v>
      </c>
      <c r="B51" s="79" t="s">
        <v>1538</v>
      </c>
      <c r="C51" s="89" t="s">
        <v>1630</v>
      </c>
      <c r="D51" s="85" t="s">
        <v>1639</v>
      </c>
      <c r="E51" s="87"/>
      <c r="F51" s="85" t="s">
        <v>1633</v>
      </c>
    </row>
    <row r="52" spans="1:6" x14ac:dyDescent="0.2">
      <c r="A52" s="85" t="s">
        <v>1640</v>
      </c>
      <c r="B52" s="79" t="s">
        <v>1538</v>
      </c>
      <c r="C52" s="89" t="s">
        <v>1630</v>
      </c>
      <c r="D52" s="85" t="s">
        <v>1641</v>
      </c>
      <c r="E52" s="87"/>
      <c r="F52" s="85" t="s">
        <v>1633</v>
      </c>
    </row>
    <row r="53" spans="1:6" x14ac:dyDescent="0.2">
      <c r="A53" s="85" t="s">
        <v>1642</v>
      </c>
      <c r="B53" s="79" t="s">
        <v>1538</v>
      </c>
      <c r="C53" s="89" t="s">
        <v>1630</v>
      </c>
      <c r="D53" s="85" t="s">
        <v>1643</v>
      </c>
      <c r="E53" s="87"/>
      <c r="F53" s="85" t="s">
        <v>1633</v>
      </c>
    </row>
    <row r="54" spans="1:6" x14ac:dyDescent="0.2">
      <c r="A54" s="85" t="s">
        <v>1644</v>
      </c>
      <c r="B54" s="79" t="s">
        <v>1538</v>
      </c>
      <c r="C54" s="89" t="s">
        <v>1630</v>
      </c>
      <c r="D54" s="85" t="s">
        <v>1645</v>
      </c>
      <c r="E54" s="87"/>
      <c r="F54" s="85" t="s">
        <v>1633</v>
      </c>
    </row>
    <row r="55" spans="1:6" x14ac:dyDescent="0.2">
      <c r="A55" s="85" t="s">
        <v>1646</v>
      </c>
      <c r="B55" s="79" t="s">
        <v>1538</v>
      </c>
      <c r="C55" s="89" t="s">
        <v>1630</v>
      </c>
      <c r="D55" s="85" t="s">
        <v>1647</v>
      </c>
      <c r="E55" s="87"/>
      <c r="F55" s="85" t="s">
        <v>1633</v>
      </c>
    </row>
    <row r="56" spans="1:6" x14ac:dyDescent="0.2">
      <c r="A56" s="85" t="s">
        <v>1648</v>
      </c>
      <c r="B56" s="79" t="s">
        <v>1538</v>
      </c>
      <c r="C56" s="89" t="s">
        <v>1630</v>
      </c>
      <c r="D56" s="85" t="s">
        <v>1649</v>
      </c>
      <c r="E56" s="87"/>
      <c r="F56" s="85" t="s">
        <v>1633</v>
      </c>
    </row>
    <row r="57" spans="1:6" x14ac:dyDescent="0.25">
      <c r="A57" s="90" t="s">
        <v>1650</v>
      </c>
      <c r="B57" s="91" t="s">
        <v>1651</v>
      </c>
      <c r="C57" s="91"/>
      <c r="D57" s="91"/>
      <c r="E57" s="91"/>
      <c r="F57" s="91"/>
    </row>
    <row r="58" spans="1:6" x14ac:dyDescent="0.25">
      <c r="A58" s="88" t="s">
        <v>1652</v>
      </c>
      <c r="B58" s="91" t="s">
        <v>1651</v>
      </c>
      <c r="C58" s="89" t="s">
        <v>1653</v>
      </c>
      <c r="D58" s="89"/>
      <c r="E58" s="89"/>
      <c r="F58" s="89"/>
    </row>
    <row r="59" spans="1:6" x14ac:dyDescent="0.2">
      <c r="A59" s="85" t="s">
        <v>1654</v>
      </c>
      <c r="B59" s="91" t="s">
        <v>1651</v>
      </c>
      <c r="C59" s="89" t="s">
        <v>1653</v>
      </c>
      <c r="D59" s="85" t="s">
        <v>1655</v>
      </c>
      <c r="E59" s="87"/>
      <c r="F59" s="85" t="s">
        <v>1622</v>
      </c>
    </row>
    <row r="60" spans="1:6" x14ac:dyDescent="0.2">
      <c r="A60" s="85" t="s">
        <v>1656</v>
      </c>
      <c r="B60" s="91" t="s">
        <v>1651</v>
      </c>
      <c r="C60" s="89" t="s">
        <v>1653</v>
      </c>
      <c r="D60" s="85" t="s">
        <v>1657</v>
      </c>
      <c r="E60" s="87"/>
      <c r="F60" s="85" t="s">
        <v>109</v>
      </c>
    </row>
    <row r="61" spans="1:6" x14ac:dyDescent="0.2">
      <c r="A61" s="85" t="s">
        <v>199</v>
      </c>
      <c r="B61" s="91" t="s">
        <v>1651</v>
      </c>
      <c r="C61" s="89" t="s">
        <v>1653</v>
      </c>
      <c r="D61" s="85" t="s">
        <v>200</v>
      </c>
      <c r="E61" s="87"/>
      <c r="F61" s="85" t="s">
        <v>109</v>
      </c>
    </row>
    <row r="62" spans="1:6" x14ac:dyDescent="0.2">
      <c r="A62" s="85" t="s">
        <v>1658</v>
      </c>
      <c r="B62" s="91" t="s">
        <v>1651</v>
      </c>
      <c r="C62" s="89" t="s">
        <v>1653</v>
      </c>
      <c r="D62" s="85" t="s">
        <v>1659</v>
      </c>
      <c r="E62" s="87"/>
      <c r="F62" s="85" t="s">
        <v>1622</v>
      </c>
    </row>
    <row r="63" spans="1:6" x14ac:dyDescent="0.2">
      <c r="A63" s="85" t="s">
        <v>1660</v>
      </c>
      <c r="B63" s="91" t="s">
        <v>1651</v>
      </c>
      <c r="C63" s="89" t="s">
        <v>1653</v>
      </c>
      <c r="D63" s="85" t="s">
        <v>1661</v>
      </c>
      <c r="E63" s="87"/>
      <c r="F63" s="85" t="s">
        <v>180</v>
      </c>
    </row>
    <row r="64" spans="1:6" x14ac:dyDescent="0.2">
      <c r="A64" s="85" t="s">
        <v>1662</v>
      </c>
      <c r="B64" s="91" t="s">
        <v>1651</v>
      </c>
      <c r="C64" s="89" t="s">
        <v>1653</v>
      </c>
      <c r="D64" s="85" t="s">
        <v>1663</v>
      </c>
      <c r="E64" s="87"/>
      <c r="F64" s="85" t="s">
        <v>180</v>
      </c>
    </row>
    <row r="65" spans="1:6" x14ac:dyDescent="0.2">
      <c r="A65" s="85" t="s">
        <v>1664</v>
      </c>
      <c r="B65" s="91" t="s">
        <v>1651</v>
      </c>
      <c r="C65" s="89" t="s">
        <v>1653</v>
      </c>
      <c r="D65" s="85" t="s">
        <v>1665</v>
      </c>
      <c r="E65" s="87"/>
      <c r="F65" s="85" t="s">
        <v>180</v>
      </c>
    </row>
    <row r="66" spans="1:6" x14ac:dyDescent="0.2">
      <c r="A66" s="85" t="s">
        <v>1666</v>
      </c>
      <c r="B66" s="91" t="s">
        <v>1651</v>
      </c>
      <c r="C66" s="89" t="s">
        <v>1653</v>
      </c>
      <c r="D66" s="85" t="s">
        <v>1667</v>
      </c>
      <c r="E66" s="87"/>
      <c r="F66" s="85" t="s">
        <v>180</v>
      </c>
    </row>
    <row r="67" spans="1:6" x14ac:dyDescent="0.2">
      <c r="A67" s="85" t="s">
        <v>1668</v>
      </c>
      <c r="B67" s="91" t="s">
        <v>1651</v>
      </c>
      <c r="C67" s="89" t="s">
        <v>1653</v>
      </c>
      <c r="D67" s="85" t="s">
        <v>1669</v>
      </c>
      <c r="E67" s="87"/>
      <c r="F67" s="85" t="s">
        <v>180</v>
      </c>
    </row>
    <row r="68" spans="1:6" x14ac:dyDescent="0.2">
      <c r="A68" s="85" t="s">
        <v>1670</v>
      </c>
      <c r="B68" s="91" t="s">
        <v>1651</v>
      </c>
      <c r="C68" s="89" t="s">
        <v>1653</v>
      </c>
      <c r="D68" s="85" t="s">
        <v>1671</v>
      </c>
      <c r="E68" s="87"/>
      <c r="F68" s="85" t="s">
        <v>180</v>
      </c>
    </row>
    <row r="69" spans="1:6" x14ac:dyDescent="0.2">
      <c r="A69" s="85" t="s">
        <v>1672</v>
      </c>
      <c r="B69" s="91" t="s">
        <v>1651</v>
      </c>
      <c r="C69" s="89" t="s">
        <v>1653</v>
      </c>
      <c r="D69" s="85" t="s">
        <v>1673</v>
      </c>
      <c r="E69" s="87"/>
      <c r="F69" s="85" t="s">
        <v>1674</v>
      </c>
    </row>
    <row r="70" spans="1:6" x14ac:dyDescent="0.2">
      <c r="A70" s="85" t="s">
        <v>1675</v>
      </c>
      <c r="B70" s="91" t="s">
        <v>1651</v>
      </c>
      <c r="C70" s="89" t="s">
        <v>1653</v>
      </c>
      <c r="D70" s="85" t="s">
        <v>1676</v>
      </c>
      <c r="E70" s="87"/>
      <c r="F70" s="85" t="s">
        <v>1677</v>
      </c>
    </row>
    <row r="71" spans="1:6" x14ac:dyDescent="0.2">
      <c r="A71" s="85" t="s">
        <v>1678</v>
      </c>
      <c r="B71" s="91" t="s">
        <v>1651</v>
      </c>
      <c r="C71" s="89" t="s">
        <v>1653</v>
      </c>
      <c r="D71" s="85" t="s">
        <v>1679</v>
      </c>
      <c r="E71" s="87"/>
      <c r="F71" s="85" t="s">
        <v>1674</v>
      </c>
    </row>
    <row r="72" spans="1:6" x14ac:dyDescent="0.2">
      <c r="A72" s="85" t="s">
        <v>1680</v>
      </c>
      <c r="B72" s="91" t="s">
        <v>1651</v>
      </c>
      <c r="C72" s="89" t="s">
        <v>1653</v>
      </c>
      <c r="D72" s="85" t="s">
        <v>1681</v>
      </c>
      <c r="E72" s="87"/>
      <c r="F72" s="85" t="s">
        <v>1622</v>
      </c>
    </row>
    <row r="73" spans="1:6" x14ac:dyDescent="0.2">
      <c r="A73" s="85" t="s">
        <v>1682</v>
      </c>
      <c r="B73" s="91" t="s">
        <v>1651</v>
      </c>
      <c r="C73" s="89" t="s">
        <v>1653</v>
      </c>
      <c r="D73" s="85" t="s">
        <v>1683</v>
      </c>
      <c r="E73" s="87"/>
      <c r="F73" s="85" t="s">
        <v>180</v>
      </c>
    </row>
    <row r="74" spans="1:6" x14ac:dyDescent="0.2">
      <c r="A74" s="85" t="s">
        <v>1684</v>
      </c>
      <c r="B74" s="91" t="s">
        <v>1651</v>
      </c>
      <c r="C74" s="89" t="s">
        <v>1653</v>
      </c>
      <c r="D74" s="85" t="s">
        <v>1685</v>
      </c>
      <c r="E74" s="87"/>
      <c r="F74" s="85" t="s">
        <v>180</v>
      </c>
    </row>
    <row r="75" spans="1:6" x14ac:dyDescent="0.2">
      <c r="A75" s="85" t="s">
        <v>1686</v>
      </c>
      <c r="B75" s="91" t="s">
        <v>1651</v>
      </c>
      <c r="C75" s="89" t="s">
        <v>1653</v>
      </c>
      <c r="D75" s="85" t="s">
        <v>1687</v>
      </c>
      <c r="E75" s="87"/>
      <c r="F75" s="85" t="s">
        <v>1688</v>
      </c>
    </row>
    <row r="76" spans="1:6" x14ac:dyDescent="0.2">
      <c r="A76" s="85" t="s">
        <v>1689</v>
      </c>
      <c r="B76" s="91" t="s">
        <v>1651</v>
      </c>
      <c r="C76" s="89" t="s">
        <v>1653</v>
      </c>
      <c r="D76" s="85" t="s">
        <v>1690</v>
      </c>
      <c r="E76" s="87"/>
      <c r="F76" s="85" t="s">
        <v>180</v>
      </c>
    </row>
    <row r="77" spans="1:6" x14ac:dyDescent="0.2">
      <c r="A77" s="85" t="s">
        <v>1691</v>
      </c>
      <c r="B77" s="91" t="s">
        <v>1651</v>
      </c>
      <c r="C77" s="89" t="s">
        <v>1653</v>
      </c>
      <c r="D77" s="85" t="s">
        <v>1692</v>
      </c>
      <c r="E77" s="87"/>
      <c r="F77" s="85" t="s">
        <v>180</v>
      </c>
    </row>
    <row r="78" spans="1:6" x14ac:dyDescent="0.2">
      <c r="A78" s="85" t="s">
        <v>1693</v>
      </c>
      <c r="B78" s="91" t="s">
        <v>1651</v>
      </c>
      <c r="C78" s="89" t="s">
        <v>1653</v>
      </c>
      <c r="D78" s="85" t="s">
        <v>1694</v>
      </c>
      <c r="E78" s="87"/>
      <c r="F78" s="85" t="s">
        <v>1622</v>
      </c>
    </row>
    <row r="79" spans="1:6" x14ac:dyDescent="0.2">
      <c r="A79" s="85" t="s">
        <v>1695</v>
      </c>
      <c r="B79" s="91" t="s">
        <v>1651</v>
      </c>
      <c r="C79" s="89" t="s">
        <v>1653</v>
      </c>
      <c r="D79" s="85" t="s">
        <v>1696</v>
      </c>
      <c r="E79" s="87"/>
      <c r="F79" s="85" t="s">
        <v>1697</v>
      </c>
    </row>
    <row r="80" spans="1:6" x14ac:dyDescent="0.25">
      <c r="A80" s="88" t="s">
        <v>1698</v>
      </c>
      <c r="B80" s="91" t="s">
        <v>1651</v>
      </c>
      <c r="C80" s="89" t="s">
        <v>1699</v>
      </c>
      <c r="D80" s="89"/>
      <c r="E80" s="89"/>
      <c r="F80" s="89"/>
    </row>
    <row r="81" spans="1:6" x14ac:dyDescent="0.2">
      <c r="A81" s="85" t="s">
        <v>1700</v>
      </c>
      <c r="B81" s="91" t="s">
        <v>1651</v>
      </c>
      <c r="C81" s="89" t="s">
        <v>1699</v>
      </c>
      <c r="D81" s="85" t="s">
        <v>1701</v>
      </c>
      <c r="E81" s="87"/>
      <c r="F81" s="85" t="s">
        <v>1622</v>
      </c>
    </row>
    <row r="82" spans="1:6" x14ac:dyDescent="0.2">
      <c r="A82" s="85" t="s">
        <v>1702</v>
      </c>
      <c r="B82" s="91" t="s">
        <v>1651</v>
      </c>
      <c r="C82" s="89" t="s">
        <v>1699</v>
      </c>
      <c r="D82" s="85" t="s">
        <v>1703</v>
      </c>
      <c r="E82" s="87"/>
      <c r="F82" s="85" t="s">
        <v>1622</v>
      </c>
    </row>
    <row r="83" spans="1:6" x14ac:dyDescent="0.2">
      <c r="A83" s="85" t="s">
        <v>1704</v>
      </c>
      <c r="B83" s="91" t="s">
        <v>1651</v>
      </c>
      <c r="C83" s="89" t="s">
        <v>1699</v>
      </c>
      <c r="D83" s="85" t="s">
        <v>1705</v>
      </c>
      <c r="E83" s="87"/>
      <c r="F83" s="85" t="s">
        <v>1622</v>
      </c>
    </row>
    <row r="84" spans="1:6" x14ac:dyDescent="0.2">
      <c r="A84" s="85" t="s">
        <v>1706</v>
      </c>
      <c r="B84" s="91" t="s">
        <v>1651</v>
      </c>
      <c r="C84" s="89" t="s">
        <v>1699</v>
      </c>
      <c r="D84" s="85" t="s">
        <v>1707</v>
      </c>
      <c r="E84" s="87"/>
      <c r="F84" s="85" t="s">
        <v>1708</v>
      </c>
    </row>
    <row r="85" spans="1:6" x14ac:dyDescent="0.2">
      <c r="A85" s="85" t="s">
        <v>1709</v>
      </c>
      <c r="B85" s="91" t="s">
        <v>1651</v>
      </c>
      <c r="C85" s="89" t="s">
        <v>1699</v>
      </c>
      <c r="D85" s="85" t="s">
        <v>1710</v>
      </c>
      <c r="E85" s="87"/>
      <c r="F85" s="85" t="s">
        <v>180</v>
      </c>
    </row>
    <row r="86" spans="1:6" x14ac:dyDescent="0.2">
      <c r="A86" s="85" t="s">
        <v>1711</v>
      </c>
      <c r="B86" s="91" t="s">
        <v>1651</v>
      </c>
      <c r="C86" s="89" t="s">
        <v>1699</v>
      </c>
      <c r="D86" s="85" t="s">
        <v>1712</v>
      </c>
      <c r="E86" s="87"/>
      <c r="F86" s="85" t="s">
        <v>1713</v>
      </c>
    </row>
    <row r="87" spans="1:6" x14ac:dyDescent="0.2">
      <c r="A87" s="85" t="s">
        <v>1714</v>
      </c>
      <c r="B87" s="91" t="s">
        <v>1651</v>
      </c>
      <c r="C87" s="89" t="s">
        <v>1699</v>
      </c>
      <c r="D87" s="85" t="s">
        <v>1715</v>
      </c>
      <c r="E87" s="87"/>
      <c r="F87" s="85" t="s">
        <v>1716</v>
      </c>
    </row>
    <row r="88" spans="1:6" x14ac:dyDescent="0.2">
      <c r="A88" s="85" t="s">
        <v>283</v>
      </c>
      <c r="B88" s="91" t="s">
        <v>1651</v>
      </c>
      <c r="C88" s="89" t="s">
        <v>1699</v>
      </c>
      <c r="D88" s="85" t="s">
        <v>1717</v>
      </c>
      <c r="E88" s="87"/>
      <c r="F88" s="85" t="s">
        <v>148</v>
      </c>
    </row>
    <row r="89" spans="1:6" x14ac:dyDescent="0.2">
      <c r="A89" s="85" t="s">
        <v>1718</v>
      </c>
      <c r="B89" s="91" t="s">
        <v>1651</v>
      </c>
      <c r="C89" s="89" t="s">
        <v>1699</v>
      </c>
      <c r="D89" s="85" t="s">
        <v>1719</v>
      </c>
      <c r="E89" s="87"/>
      <c r="F89" s="85" t="s">
        <v>1622</v>
      </c>
    </row>
    <row r="90" spans="1:6" x14ac:dyDescent="0.2">
      <c r="A90" s="85" t="s">
        <v>1720</v>
      </c>
      <c r="B90" s="91" t="s">
        <v>1651</v>
      </c>
      <c r="C90" s="89" t="s">
        <v>1699</v>
      </c>
      <c r="D90" s="85" t="s">
        <v>1721</v>
      </c>
      <c r="E90" s="87"/>
      <c r="F90" s="85" t="s">
        <v>1622</v>
      </c>
    </row>
    <row r="91" spans="1:6" x14ac:dyDescent="0.2">
      <c r="A91" s="85" t="s">
        <v>1722</v>
      </c>
      <c r="B91" s="91" t="s">
        <v>1651</v>
      </c>
      <c r="C91" s="89" t="s">
        <v>1699</v>
      </c>
      <c r="D91" s="85" t="s">
        <v>1723</v>
      </c>
      <c r="E91" s="87"/>
      <c r="F91" s="92"/>
    </row>
    <row r="92" spans="1:6" x14ac:dyDescent="0.2">
      <c r="A92" s="85" t="s">
        <v>1724</v>
      </c>
      <c r="B92" s="91" t="s">
        <v>1651</v>
      </c>
      <c r="C92" s="89" t="s">
        <v>1699</v>
      </c>
      <c r="D92" s="85" t="s">
        <v>1725</v>
      </c>
      <c r="E92" s="87"/>
      <c r="F92" s="85" t="s">
        <v>1622</v>
      </c>
    </row>
    <row r="93" spans="1:6" x14ac:dyDescent="0.2">
      <c r="A93" s="85" t="s">
        <v>1726</v>
      </c>
      <c r="B93" s="91" t="s">
        <v>1651</v>
      </c>
      <c r="C93" s="89" t="s">
        <v>1699</v>
      </c>
      <c r="D93" s="85" t="s">
        <v>1727</v>
      </c>
      <c r="E93" s="87"/>
      <c r="F93" s="92"/>
    </row>
    <row r="94" spans="1:6" x14ac:dyDescent="0.2">
      <c r="A94" s="85" t="s">
        <v>1728</v>
      </c>
      <c r="B94" s="91" t="s">
        <v>1651</v>
      </c>
      <c r="C94" s="89" t="s">
        <v>1699</v>
      </c>
      <c r="D94" s="85" t="s">
        <v>1729</v>
      </c>
      <c r="E94" s="87"/>
      <c r="F94" s="92"/>
    </row>
    <row r="95" spans="1:6" x14ac:dyDescent="0.2">
      <c r="A95" s="85" t="s">
        <v>1730</v>
      </c>
      <c r="B95" s="91" t="s">
        <v>1651</v>
      </c>
      <c r="C95" s="89" t="s">
        <v>1699</v>
      </c>
      <c r="D95" s="85" t="s">
        <v>1731</v>
      </c>
      <c r="E95" s="87"/>
      <c r="F95" s="85" t="s">
        <v>1622</v>
      </c>
    </row>
    <row r="96" spans="1:6" x14ac:dyDescent="0.2">
      <c r="A96" s="85" t="s">
        <v>1732</v>
      </c>
      <c r="B96" s="91" t="s">
        <v>1651</v>
      </c>
      <c r="C96" s="89" t="s">
        <v>1699</v>
      </c>
      <c r="D96" s="85" t="s">
        <v>1733</v>
      </c>
      <c r="E96" s="87"/>
      <c r="F96" s="85" t="s">
        <v>1622</v>
      </c>
    </row>
    <row r="97" spans="1:6" x14ac:dyDescent="0.2">
      <c r="A97" s="85" t="s">
        <v>1734</v>
      </c>
      <c r="B97" s="91" t="s">
        <v>1651</v>
      </c>
      <c r="C97" s="89" t="s">
        <v>1699</v>
      </c>
      <c r="D97" s="85" t="s">
        <v>1735</v>
      </c>
      <c r="E97" s="87"/>
      <c r="F97" s="85" t="s">
        <v>1622</v>
      </c>
    </row>
    <row r="98" spans="1:6" x14ac:dyDescent="0.2">
      <c r="A98" s="85" t="s">
        <v>1736</v>
      </c>
      <c r="B98" s="91" t="s">
        <v>1651</v>
      </c>
      <c r="C98" s="89" t="s">
        <v>1699</v>
      </c>
      <c r="D98" s="85" t="s">
        <v>1737</v>
      </c>
      <c r="E98" s="87"/>
      <c r="F98" s="92"/>
    </row>
    <row r="99" spans="1:6" x14ac:dyDescent="0.2">
      <c r="A99" s="85" t="s">
        <v>1738</v>
      </c>
      <c r="B99" s="91" t="s">
        <v>1651</v>
      </c>
      <c r="C99" s="89" t="s">
        <v>1699</v>
      </c>
      <c r="D99" s="85" t="s">
        <v>1739</v>
      </c>
      <c r="E99" s="87"/>
      <c r="F99" s="85" t="s">
        <v>1622</v>
      </c>
    </row>
    <row r="100" spans="1:6" x14ac:dyDescent="0.2">
      <c r="A100" s="85" t="s">
        <v>1740</v>
      </c>
      <c r="B100" s="91" t="s">
        <v>1651</v>
      </c>
      <c r="C100" s="89" t="s">
        <v>1699</v>
      </c>
      <c r="D100" s="85" t="s">
        <v>1741</v>
      </c>
      <c r="E100" s="87"/>
      <c r="F100" s="92"/>
    </row>
    <row r="101" spans="1:6" x14ac:dyDescent="0.2">
      <c r="A101" s="85" t="s">
        <v>1742</v>
      </c>
      <c r="B101" s="91" t="s">
        <v>1651</v>
      </c>
      <c r="C101" s="89" t="s">
        <v>1699</v>
      </c>
      <c r="D101" s="85" t="s">
        <v>1743</v>
      </c>
      <c r="E101" s="87"/>
      <c r="F101" s="85" t="s">
        <v>1622</v>
      </c>
    </row>
    <row r="102" spans="1:6" x14ac:dyDescent="0.2">
      <c r="A102" s="85" t="s">
        <v>1744</v>
      </c>
      <c r="B102" s="91" t="s">
        <v>1651</v>
      </c>
      <c r="C102" s="89" t="s">
        <v>1699</v>
      </c>
      <c r="D102" s="85" t="s">
        <v>1745</v>
      </c>
      <c r="E102" s="87"/>
      <c r="F102" s="85" t="s">
        <v>1622</v>
      </c>
    </row>
    <row r="103" spans="1:6" x14ac:dyDescent="0.25">
      <c r="A103" s="85" t="s">
        <v>1746</v>
      </c>
      <c r="B103" s="91" t="s">
        <v>1651</v>
      </c>
      <c r="C103" s="89" t="s">
        <v>1747</v>
      </c>
      <c r="D103" s="93"/>
      <c r="E103" s="94"/>
      <c r="F103" s="95" t="s">
        <v>1748</v>
      </c>
    </row>
    <row r="104" spans="1:6" x14ac:dyDescent="0.25">
      <c r="A104" s="90" t="s">
        <v>1749</v>
      </c>
      <c r="B104" s="91" t="s">
        <v>1750</v>
      </c>
      <c r="C104" s="91"/>
      <c r="D104" s="91"/>
      <c r="E104" s="91"/>
      <c r="F104" s="91"/>
    </row>
    <row r="105" spans="1:6" x14ac:dyDescent="0.25">
      <c r="A105" s="88" t="s">
        <v>1751</v>
      </c>
      <c r="B105" s="91" t="s">
        <v>1750</v>
      </c>
      <c r="C105" s="89" t="s">
        <v>1752</v>
      </c>
      <c r="D105" s="89"/>
      <c r="E105" s="89"/>
      <c r="F105" s="89"/>
    </row>
    <row r="106" spans="1:6" x14ac:dyDescent="0.25">
      <c r="A106" s="96" t="s">
        <v>174</v>
      </c>
      <c r="B106" s="91" t="s">
        <v>1750</v>
      </c>
      <c r="C106" s="89" t="s">
        <v>1752</v>
      </c>
      <c r="D106" s="97" t="s">
        <v>178</v>
      </c>
      <c r="E106" s="97"/>
      <c r="F106" s="98" t="s">
        <v>172</v>
      </c>
    </row>
    <row r="107" spans="1:6" x14ac:dyDescent="0.25">
      <c r="A107" s="85" t="s">
        <v>193</v>
      </c>
      <c r="B107" s="91" t="s">
        <v>1750</v>
      </c>
      <c r="C107" s="89" t="s">
        <v>1752</v>
      </c>
      <c r="D107" s="97" t="s">
        <v>178</v>
      </c>
      <c r="E107" s="86" t="s">
        <v>194</v>
      </c>
      <c r="F107" s="85" t="s">
        <v>191</v>
      </c>
    </row>
    <row r="108" spans="1:6" x14ac:dyDescent="0.25">
      <c r="A108" s="85" t="s">
        <v>183</v>
      </c>
      <c r="B108" s="91" t="s">
        <v>1750</v>
      </c>
      <c r="C108" s="89" t="s">
        <v>1752</v>
      </c>
      <c r="D108" s="97" t="s">
        <v>178</v>
      </c>
      <c r="E108" s="86" t="s">
        <v>185</v>
      </c>
      <c r="F108" s="85" t="s">
        <v>180</v>
      </c>
    </row>
    <row r="109" spans="1:6" x14ac:dyDescent="0.2">
      <c r="A109" s="85" t="s">
        <v>201</v>
      </c>
      <c r="B109" s="91" t="s">
        <v>1750</v>
      </c>
      <c r="C109" s="89" t="s">
        <v>1752</v>
      </c>
      <c r="D109" s="85" t="s">
        <v>202</v>
      </c>
      <c r="E109" s="87"/>
      <c r="F109" s="85" t="s">
        <v>109</v>
      </c>
    </row>
    <row r="110" spans="1:6" x14ac:dyDescent="0.2">
      <c r="A110" s="85" t="s">
        <v>112</v>
      </c>
      <c r="B110" s="91" t="s">
        <v>1750</v>
      </c>
      <c r="C110" s="89" t="s">
        <v>1752</v>
      </c>
      <c r="D110" s="85" t="s">
        <v>113</v>
      </c>
      <c r="E110" s="87"/>
      <c r="F110" s="85" t="s">
        <v>109</v>
      </c>
    </row>
    <row r="111" spans="1:6" x14ac:dyDescent="0.2">
      <c r="A111" s="85" t="s">
        <v>1753</v>
      </c>
      <c r="B111" s="91" t="s">
        <v>1750</v>
      </c>
      <c r="C111" s="89" t="s">
        <v>1752</v>
      </c>
      <c r="D111" s="85" t="s">
        <v>1754</v>
      </c>
      <c r="E111" s="87"/>
      <c r="F111" s="85" t="s">
        <v>1622</v>
      </c>
    </row>
    <row r="112" spans="1:6" x14ac:dyDescent="0.2">
      <c r="A112" s="85" t="s">
        <v>1755</v>
      </c>
      <c r="B112" s="91" t="s">
        <v>1750</v>
      </c>
      <c r="C112" s="89" t="s">
        <v>1752</v>
      </c>
      <c r="D112" s="85" t="s">
        <v>1756</v>
      </c>
      <c r="E112" s="87"/>
      <c r="F112" s="85" t="s">
        <v>1757</v>
      </c>
    </row>
    <row r="113" spans="1:6" x14ac:dyDescent="0.2">
      <c r="A113" s="85" t="s">
        <v>231</v>
      </c>
      <c r="B113" s="91" t="s">
        <v>1750</v>
      </c>
      <c r="C113" s="89" t="s">
        <v>1752</v>
      </c>
      <c r="D113" s="85" t="s">
        <v>1758</v>
      </c>
      <c r="E113" s="87"/>
      <c r="F113" s="85" t="s">
        <v>172</v>
      </c>
    </row>
    <row r="114" spans="1:6" x14ac:dyDescent="0.2">
      <c r="A114" s="85" t="s">
        <v>203</v>
      </c>
      <c r="B114" s="91" t="s">
        <v>1750</v>
      </c>
      <c r="C114" s="89" t="s">
        <v>1752</v>
      </c>
      <c r="D114" s="85" t="s">
        <v>204</v>
      </c>
      <c r="E114" s="87"/>
      <c r="F114" s="85" t="s">
        <v>109</v>
      </c>
    </row>
    <row r="115" spans="1:6" x14ac:dyDescent="0.2">
      <c r="A115" s="85" t="s">
        <v>145</v>
      </c>
      <c r="B115" s="91" t="s">
        <v>1750</v>
      </c>
      <c r="C115" s="89" t="s">
        <v>1752</v>
      </c>
      <c r="D115" s="85" t="s">
        <v>143</v>
      </c>
      <c r="E115" s="87"/>
      <c r="F115" s="85" t="s">
        <v>142</v>
      </c>
    </row>
    <row r="116" spans="1:6" x14ac:dyDescent="0.2">
      <c r="A116" s="85" t="s">
        <v>1759</v>
      </c>
      <c r="B116" s="91" t="s">
        <v>1750</v>
      </c>
      <c r="C116" s="89" t="s">
        <v>1752</v>
      </c>
      <c r="D116" s="85" t="s">
        <v>1760</v>
      </c>
      <c r="E116" s="87"/>
      <c r="F116" s="85" t="s">
        <v>1622</v>
      </c>
    </row>
    <row r="117" spans="1:6" x14ac:dyDescent="0.2">
      <c r="A117" s="85" t="s">
        <v>1761</v>
      </c>
      <c r="B117" s="91" t="s">
        <v>1750</v>
      </c>
      <c r="C117" s="89" t="s">
        <v>1752</v>
      </c>
      <c r="D117" s="85" t="s">
        <v>1762</v>
      </c>
      <c r="E117" s="87"/>
      <c r="F117" s="85" t="s">
        <v>1622</v>
      </c>
    </row>
    <row r="118" spans="1:6" x14ac:dyDescent="0.2">
      <c r="A118" s="85" t="s">
        <v>251</v>
      </c>
      <c r="B118" s="91" t="s">
        <v>1750</v>
      </c>
      <c r="C118" s="89" t="s">
        <v>1752</v>
      </c>
      <c r="D118" s="85" t="s">
        <v>1763</v>
      </c>
      <c r="E118" s="87"/>
      <c r="F118" s="85" t="s">
        <v>142</v>
      </c>
    </row>
    <row r="119" spans="1:6" x14ac:dyDescent="0.2">
      <c r="A119" s="85" t="s">
        <v>252</v>
      </c>
      <c r="B119" s="91" t="s">
        <v>1750</v>
      </c>
      <c r="C119" s="89" t="s">
        <v>1752</v>
      </c>
      <c r="D119" s="85" t="s">
        <v>1764</v>
      </c>
      <c r="E119" s="87"/>
      <c r="F119" s="85" t="s">
        <v>142</v>
      </c>
    </row>
    <row r="120" spans="1:6" x14ac:dyDescent="0.2">
      <c r="A120" s="85" t="s">
        <v>253</v>
      </c>
      <c r="B120" s="91" t="s">
        <v>1750</v>
      </c>
      <c r="C120" s="89" t="s">
        <v>1752</v>
      </c>
      <c r="D120" s="85" t="s">
        <v>1765</v>
      </c>
      <c r="E120" s="87"/>
      <c r="F120" s="85" t="s">
        <v>142</v>
      </c>
    </row>
    <row r="121" spans="1:6" x14ac:dyDescent="0.2">
      <c r="A121" s="85" t="s">
        <v>232</v>
      </c>
      <c r="B121" s="91" t="s">
        <v>1750</v>
      </c>
      <c r="C121" s="89" t="s">
        <v>1752</v>
      </c>
      <c r="D121" s="85" t="s">
        <v>173</v>
      </c>
      <c r="E121" s="87"/>
      <c r="F121" s="85" t="s">
        <v>172</v>
      </c>
    </row>
    <row r="122" spans="1:6" x14ac:dyDescent="0.2">
      <c r="A122" s="96" t="s">
        <v>230</v>
      </c>
      <c r="B122" s="91" t="s">
        <v>1750</v>
      </c>
      <c r="C122" s="89" t="s">
        <v>1752</v>
      </c>
      <c r="D122" s="96" t="s">
        <v>1766</v>
      </c>
      <c r="E122" s="99"/>
      <c r="F122" s="98" t="s">
        <v>172</v>
      </c>
    </row>
    <row r="123" spans="1:6" x14ac:dyDescent="0.25">
      <c r="A123" s="85" t="s">
        <v>1767</v>
      </c>
      <c r="B123" s="91" t="s">
        <v>1750</v>
      </c>
      <c r="C123" s="89" t="s">
        <v>1752</v>
      </c>
      <c r="D123" s="96" t="s">
        <v>1766</v>
      </c>
      <c r="E123" s="86" t="s">
        <v>1768</v>
      </c>
      <c r="F123" s="85" t="s">
        <v>191</v>
      </c>
    </row>
    <row r="124" spans="1:6" x14ac:dyDescent="0.25">
      <c r="A124" s="85" t="s">
        <v>246</v>
      </c>
      <c r="B124" s="91" t="s">
        <v>1750</v>
      </c>
      <c r="C124" s="89" t="s">
        <v>1752</v>
      </c>
      <c r="D124" s="96" t="s">
        <v>1766</v>
      </c>
      <c r="E124" s="86" t="s">
        <v>1769</v>
      </c>
      <c r="F124" s="85" t="s">
        <v>180</v>
      </c>
    </row>
    <row r="125" spans="1:6" x14ac:dyDescent="0.2">
      <c r="A125" s="85" t="s">
        <v>1770</v>
      </c>
      <c r="B125" s="91" t="s">
        <v>1750</v>
      </c>
      <c r="C125" s="89" t="s">
        <v>1752</v>
      </c>
      <c r="D125" s="85" t="s">
        <v>1771</v>
      </c>
      <c r="E125" s="87"/>
      <c r="F125" s="85" t="s">
        <v>1772</v>
      </c>
    </row>
    <row r="126" spans="1:6" x14ac:dyDescent="0.2">
      <c r="A126" s="85" t="s">
        <v>1773</v>
      </c>
      <c r="B126" s="91" t="s">
        <v>1750</v>
      </c>
      <c r="C126" s="89" t="s">
        <v>1752</v>
      </c>
      <c r="D126" s="85" t="s">
        <v>1774</v>
      </c>
      <c r="E126" s="87"/>
      <c r="F126" s="85" t="s">
        <v>1622</v>
      </c>
    </row>
    <row r="127" spans="1:6" x14ac:dyDescent="0.2">
      <c r="A127" s="85" t="s">
        <v>1775</v>
      </c>
      <c r="B127" s="91" t="s">
        <v>1750</v>
      </c>
      <c r="C127" s="89" t="s">
        <v>1752</v>
      </c>
      <c r="D127" s="85" t="s">
        <v>1776</v>
      </c>
      <c r="E127" s="87"/>
      <c r="F127" s="92"/>
    </row>
    <row r="128" spans="1:6" x14ac:dyDescent="0.2">
      <c r="A128" s="85" t="s">
        <v>1777</v>
      </c>
      <c r="B128" s="91" t="s">
        <v>1750</v>
      </c>
      <c r="C128" s="89" t="s">
        <v>1752</v>
      </c>
      <c r="D128" s="85" t="s">
        <v>1778</v>
      </c>
      <c r="E128" s="87"/>
      <c r="F128" s="85" t="s">
        <v>1622</v>
      </c>
    </row>
    <row r="129" spans="1:6" x14ac:dyDescent="0.2">
      <c r="A129" s="85" t="s">
        <v>1779</v>
      </c>
      <c r="B129" s="91" t="s">
        <v>1750</v>
      </c>
      <c r="C129" s="89" t="s">
        <v>1752</v>
      </c>
      <c r="D129" s="85" t="s">
        <v>1780</v>
      </c>
      <c r="E129" s="87"/>
      <c r="F129" s="92"/>
    </row>
    <row r="130" spans="1:6" x14ac:dyDescent="0.2">
      <c r="A130" s="85" t="s">
        <v>1781</v>
      </c>
      <c r="B130" s="91" t="s">
        <v>1750</v>
      </c>
      <c r="C130" s="89" t="s">
        <v>1752</v>
      </c>
      <c r="D130" s="85" t="s">
        <v>1782</v>
      </c>
      <c r="E130" s="87"/>
      <c r="F130" s="92"/>
    </row>
    <row r="131" spans="1:6" x14ac:dyDescent="0.2">
      <c r="A131" s="85" t="s">
        <v>1783</v>
      </c>
      <c r="B131" s="91" t="s">
        <v>1750</v>
      </c>
      <c r="C131" s="89" t="s">
        <v>1752</v>
      </c>
      <c r="D131" s="85" t="s">
        <v>1784</v>
      </c>
      <c r="E131" s="87"/>
      <c r="F131" s="92"/>
    </row>
    <row r="132" spans="1:6" x14ac:dyDescent="0.2">
      <c r="A132" s="85" t="s">
        <v>211</v>
      </c>
      <c r="B132" s="91" t="s">
        <v>1750</v>
      </c>
      <c r="C132" s="89" t="s">
        <v>1752</v>
      </c>
      <c r="D132" s="85" t="s">
        <v>212</v>
      </c>
      <c r="E132" s="87"/>
      <c r="F132" s="85" t="s">
        <v>109</v>
      </c>
    </row>
    <row r="133" spans="1:6" x14ac:dyDescent="0.2">
      <c r="A133" s="85" t="s">
        <v>213</v>
      </c>
      <c r="B133" s="91" t="s">
        <v>1750</v>
      </c>
      <c r="C133" s="89" t="s">
        <v>1752</v>
      </c>
      <c r="D133" s="85" t="s">
        <v>214</v>
      </c>
      <c r="E133" s="87"/>
      <c r="F133" s="85" t="s">
        <v>109</v>
      </c>
    </row>
    <row r="134" spans="1:6" x14ac:dyDescent="0.2">
      <c r="A134" s="85" t="s">
        <v>215</v>
      </c>
      <c r="B134" s="91" t="s">
        <v>1750</v>
      </c>
      <c r="C134" s="89" t="s">
        <v>1752</v>
      </c>
      <c r="D134" s="85" t="s">
        <v>216</v>
      </c>
      <c r="E134" s="87"/>
      <c r="F134" s="85" t="s">
        <v>109</v>
      </c>
    </row>
    <row r="135" spans="1:6" x14ac:dyDescent="0.2">
      <c r="A135" s="85" t="s">
        <v>217</v>
      </c>
      <c r="B135" s="91" t="s">
        <v>1750</v>
      </c>
      <c r="C135" s="89" t="s">
        <v>1752</v>
      </c>
      <c r="D135" s="85" t="s">
        <v>218</v>
      </c>
      <c r="E135" s="87"/>
      <c r="F135" s="85" t="s">
        <v>109</v>
      </c>
    </row>
    <row r="136" spans="1:6" x14ac:dyDescent="0.2">
      <c r="A136" s="85" t="s">
        <v>205</v>
      </c>
      <c r="B136" s="91" t="s">
        <v>1750</v>
      </c>
      <c r="C136" s="89" t="s">
        <v>1752</v>
      </c>
      <c r="D136" s="85" t="s">
        <v>206</v>
      </c>
      <c r="E136" s="87"/>
      <c r="F136" s="85" t="s">
        <v>109</v>
      </c>
    </row>
    <row r="137" spans="1:6" x14ac:dyDescent="0.2">
      <c r="A137" s="85" t="s">
        <v>254</v>
      </c>
      <c r="B137" s="91" t="s">
        <v>1750</v>
      </c>
      <c r="C137" s="89" t="s">
        <v>1752</v>
      </c>
      <c r="D137" s="85" t="s">
        <v>1785</v>
      </c>
      <c r="E137" s="87"/>
      <c r="F137" s="85" t="s">
        <v>142</v>
      </c>
    </row>
    <row r="138" spans="1:6" x14ac:dyDescent="0.25">
      <c r="A138" s="88" t="s">
        <v>1786</v>
      </c>
      <c r="B138" s="91" t="s">
        <v>1750</v>
      </c>
      <c r="C138" s="89" t="s">
        <v>1787</v>
      </c>
      <c r="D138" s="89"/>
      <c r="E138" s="89"/>
      <c r="F138" s="100" t="s">
        <v>1697</v>
      </c>
    </row>
    <row r="139" spans="1:6" x14ac:dyDescent="0.2">
      <c r="A139" s="85" t="s">
        <v>1788</v>
      </c>
      <c r="B139" s="91" t="s">
        <v>1750</v>
      </c>
      <c r="C139" s="89" t="s">
        <v>1787</v>
      </c>
      <c r="D139" s="85" t="s">
        <v>1789</v>
      </c>
      <c r="E139" s="87"/>
      <c r="F139" s="85" t="s">
        <v>1697</v>
      </c>
    </row>
    <row r="140" spans="1:6" x14ac:dyDescent="0.2">
      <c r="A140" s="85" t="s">
        <v>1790</v>
      </c>
      <c r="B140" s="91" t="s">
        <v>1750</v>
      </c>
      <c r="C140" s="89" t="s">
        <v>1787</v>
      </c>
      <c r="D140" s="85" t="s">
        <v>1791</v>
      </c>
      <c r="E140" s="87"/>
      <c r="F140" s="85" t="s">
        <v>1697</v>
      </c>
    </row>
    <row r="141" spans="1:6" x14ac:dyDescent="0.2">
      <c r="A141" s="85" t="s">
        <v>1792</v>
      </c>
      <c r="B141" s="91" t="s">
        <v>1750</v>
      </c>
      <c r="C141" s="89" t="s">
        <v>1787</v>
      </c>
      <c r="D141" s="85" t="s">
        <v>1793</v>
      </c>
      <c r="E141" s="87"/>
      <c r="F141" s="85" t="s">
        <v>1697</v>
      </c>
    </row>
    <row r="142" spans="1:6" x14ac:dyDescent="0.2">
      <c r="A142" s="85" t="s">
        <v>1794</v>
      </c>
      <c r="B142" s="91" t="s">
        <v>1750</v>
      </c>
      <c r="C142" s="89" t="s">
        <v>1787</v>
      </c>
      <c r="D142" s="85" t="s">
        <v>1795</v>
      </c>
      <c r="E142" s="87"/>
      <c r="F142" s="85" t="s">
        <v>180</v>
      </c>
    </row>
    <row r="143" spans="1:6" x14ac:dyDescent="0.2">
      <c r="A143" s="85" t="s">
        <v>1796</v>
      </c>
      <c r="B143" s="91" t="s">
        <v>1750</v>
      </c>
      <c r="C143" s="89" t="s">
        <v>1787</v>
      </c>
      <c r="D143" s="85" t="s">
        <v>1797</v>
      </c>
      <c r="E143" s="87"/>
      <c r="F143" s="85" t="s">
        <v>1697</v>
      </c>
    </row>
    <row r="144" spans="1:6" x14ac:dyDescent="0.2">
      <c r="A144" s="85" t="s">
        <v>1798</v>
      </c>
      <c r="B144" s="91" t="s">
        <v>1750</v>
      </c>
      <c r="C144" s="89" t="s">
        <v>1787</v>
      </c>
      <c r="D144" s="85" t="s">
        <v>1799</v>
      </c>
      <c r="E144" s="87"/>
      <c r="F144" s="85" t="s">
        <v>1697</v>
      </c>
    </row>
    <row r="145" spans="1:6" x14ac:dyDescent="0.25">
      <c r="A145" s="88" t="s">
        <v>1800</v>
      </c>
      <c r="B145" s="91" t="s">
        <v>1750</v>
      </c>
      <c r="C145" s="89" t="s">
        <v>1801</v>
      </c>
      <c r="D145" s="89"/>
      <c r="E145" s="89"/>
      <c r="F145" s="89"/>
    </row>
    <row r="146" spans="1:6" x14ac:dyDescent="0.2">
      <c r="A146" s="85" t="s">
        <v>1802</v>
      </c>
      <c r="B146" s="91" t="s">
        <v>1750</v>
      </c>
      <c r="C146" s="89" t="s">
        <v>1801</v>
      </c>
      <c r="D146" s="85" t="s">
        <v>1803</v>
      </c>
      <c r="E146" s="87"/>
      <c r="F146" s="85" t="s">
        <v>1804</v>
      </c>
    </row>
    <row r="147" spans="1:6" x14ac:dyDescent="0.2">
      <c r="A147" s="85" t="s">
        <v>1805</v>
      </c>
      <c r="B147" s="91" t="s">
        <v>1750</v>
      </c>
      <c r="C147" s="89" t="s">
        <v>1801</v>
      </c>
      <c r="D147" s="85" t="s">
        <v>1806</v>
      </c>
      <c r="E147" s="87"/>
      <c r="F147" s="85" t="s">
        <v>1804</v>
      </c>
    </row>
    <row r="148" spans="1:6" x14ac:dyDescent="0.2">
      <c r="A148" s="85" t="s">
        <v>1807</v>
      </c>
      <c r="B148" s="91" t="s">
        <v>1750</v>
      </c>
      <c r="C148" s="89" t="s">
        <v>1801</v>
      </c>
      <c r="D148" s="85" t="s">
        <v>1808</v>
      </c>
      <c r="E148" s="87"/>
      <c r="F148" s="85" t="s">
        <v>1804</v>
      </c>
    </row>
    <row r="149" spans="1:6" x14ac:dyDescent="0.25">
      <c r="A149" s="88" t="s">
        <v>1809</v>
      </c>
      <c r="B149" s="91" t="s">
        <v>1750</v>
      </c>
      <c r="C149" s="89" t="s">
        <v>1810</v>
      </c>
      <c r="D149" s="89"/>
      <c r="E149" s="89"/>
      <c r="F149" s="89"/>
    </row>
    <row r="150" spans="1:6" x14ac:dyDescent="0.2">
      <c r="A150" s="85" t="s">
        <v>1811</v>
      </c>
      <c r="B150" s="91" t="s">
        <v>1750</v>
      </c>
      <c r="C150" s="89" t="s">
        <v>1810</v>
      </c>
      <c r="D150" s="85" t="s">
        <v>1812</v>
      </c>
      <c r="E150" s="87"/>
      <c r="F150" s="85" t="s">
        <v>1674</v>
      </c>
    </row>
    <row r="151" spans="1:6" x14ac:dyDescent="0.2">
      <c r="A151" s="85" t="s">
        <v>225</v>
      </c>
      <c r="B151" s="91" t="s">
        <v>1750</v>
      </c>
      <c r="C151" s="89" t="s">
        <v>1810</v>
      </c>
      <c r="D151" s="85" t="s">
        <v>1813</v>
      </c>
      <c r="E151" s="87"/>
      <c r="F151" s="85" t="s">
        <v>118</v>
      </c>
    </row>
    <row r="152" spans="1:6" x14ac:dyDescent="0.2">
      <c r="A152" s="85" t="s">
        <v>1814</v>
      </c>
      <c r="B152" s="91" t="s">
        <v>1750</v>
      </c>
      <c r="C152" s="89" t="s">
        <v>1810</v>
      </c>
      <c r="D152" s="85" t="s">
        <v>1815</v>
      </c>
      <c r="E152" s="87"/>
      <c r="F152" s="85" t="s">
        <v>1688</v>
      </c>
    </row>
    <row r="153" spans="1:6" x14ac:dyDescent="0.2">
      <c r="A153" s="85" t="s">
        <v>1816</v>
      </c>
      <c r="B153" s="91" t="s">
        <v>1750</v>
      </c>
      <c r="C153" s="89" t="s">
        <v>1810</v>
      </c>
      <c r="D153" s="85" t="s">
        <v>1817</v>
      </c>
      <c r="E153" s="87"/>
      <c r="F153" s="85" t="s">
        <v>1688</v>
      </c>
    </row>
    <row r="154" spans="1:6" x14ac:dyDescent="0.2">
      <c r="A154" s="85" t="s">
        <v>1818</v>
      </c>
      <c r="B154" s="91" t="s">
        <v>1750</v>
      </c>
      <c r="C154" s="89" t="s">
        <v>1810</v>
      </c>
      <c r="D154" s="85" t="s">
        <v>1819</v>
      </c>
      <c r="E154" s="87"/>
      <c r="F154" s="85" t="s">
        <v>1674</v>
      </c>
    </row>
    <row r="155" spans="1:6" x14ac:dyDescent="0.2">
      <c r="A155" s="85" t="s">
        <v>226</v>
      </c>
      <c r="B155" s="91" t="s">
        <v>1750</v>
      </c>
      <c r="C155" s="89" t="s">
        <v>1810</v>
      </c>
      <c r="D155" s="85" t="s">
        <v>1820</v>
      </c>
      <c r="E155" s="87"/>
      <c r="F155" s="85" t="s">
        <v>1821</v>
      </c>
    </row>
    <row r="156" spans="1:6" x14ac:dyDescent="0.2">
      <c r="A156" s="85" t="s">
        <v>1822</v>
      </c>
      <c r="B156" s="91" t="s">
        <v>1750</v>
      </c>
      <c r="C156" s="89" t="s">
        <v>1810</v>
      </c>
      <c r="D156" s="85" t="s">
        <v>1823</v>
      </c>
      <c r="E156" s="87"/>
      <c r="F156" s="85" t="s">
        <v>1674</v>
      </c>
    </row>
    <row r="157" spans="1:6" x14ac:dyDescent="0.2">
      <c r="A157" s="85" t="s">
        <v>1824</v>
      </c>
      <c r="B157" s="91" t="s">
        <v>1750</v>
      </c>
      <c r="C157" s="89" t="s">
        <v>1810</v>
      </c>
      <c r="D157" s="85" t="s">
        <v>1825</v>
      </c>
      <c r="E157" s="87"/>
      <c r="F157" s="85" t="s">
        <v>1622</v>
      </c>
    </row>
    <row r="158" spans="1:6" x14ac:dyDescent="0.2">
      <c r="A158" s="85" t="s">
        <v>1826</v>
      </c>
      <c r="B158" s="91" t="s">
        <v>1750</v>
      </c>
      <c r="C158" s="89" t="s">
        <v>1810</v>
      </c>
      <c r="D158" s="85" t="s">
        <v>1827</v>
      </c>
      <c r="E158" s="87"/>
      <c r="F158" s="85" t="s">
        <v>1622</v>
      </c>
    </row>
    <row r="159" spans="1:6" x14ac:dyDescent="0.2">
      <c r="A159" s="85" t="s">
        <v>1828</v>
      </c>
      <c r="B159" s="91" t="s">
        <v>1750</v>
      </c>
      <c r="C159" s="89" t="s">
        <v>1810</v>
      </c>
      <c r="D159" s="85" t="s">
        <v>1829</v>
      </c>
      <c r="E159" s="87"/>
      <c r="F159" s="85" t="s">
        <v>1622</v>
      </c>
    </row>
    <row r="160" spans="1:6" x14ac:dyDescent="0.2">
      <c r="A160" s="85" t="s">
        <v>1830</v>
      </c>
      <c r="B160" s="91" t="s">
        <v>1750</v>
      </c>
      <c r="C160" s="89" t="s">
        <v>1810</v>
      </c>
      <c r="D160" s="85" t="s">
        <v>1831</v>
      </c>
      <c r="E160" s="87"/>
      <c r="F160" s="85" t="s">
        <v>1688</v>
      </c>
    </row>
    <row r="161" spans="1:6" x14ac:dyDescent="0.2">
      <c r="A161" s="85" t="s">
        <v>227</v>
      </c>
      <c r="B161" s="91" t="s">
        <v>1750</v>
      </c>
      <c r="C161" s="89" t="s">
        <v>1810</v>
      </c>
      <c r="D161" s="85" t="s">
        <v>1832</v>
      </c>
      <c r="E161" s="87"/>
      <c r="F161" s="85" t="s">
        <v>118</v>
      </c>
    </row>
    <row r="162" spans="1:6" x14ac:dyDescent="0.2">
      <c r="A162" s="85" t="s">
        <v>1833</v>
      </c>
      <c r="B162" s="91" t="s">
        <v>1750</v>
      </c>
      <c r="C162" s="89" t="s">
        <v>1810</v>
      </c>
      <c r="D162" s="85" t="s">
        <v>1834</v>
      </c>
      <c r="E162" s="87"/>
      <c r="F162" s="85" t="s">
        <v>118</v>
      </c>
    </row>
    <row r="163" spans="1:6" x14ac:dyDescent="0.2">
      <c r="A163" s="85" t="s">
        <v>228</v>
      </c>
      <c r="B163" s="91" t="s">
        <v>1750</v>
      </c>
      <c r="C163" s="89" t="s">
        <v>1810</v>
      </c>
      <c r="D163" s="85" t="s">
        <v>1835</v>
      </c>
      <c r="E163" s="87"/>
      <c r="F163" s="85" t="s">
        <v>118</v>
      </c>
    </row>
    <row r="164" spans="1:6" x14ac:dyDescent="0.2">
      <c r="A164" s="85" t="s">
        <v>1836</v>
      </c>
      <c r="B164" s="91" t="s">
        <v>1750</v>
      </c>
      <c r="C164" s="89" t="s">
        <v>1810</v>
      </c>
      <c r="D164" s="85" t="s">
        <v>1837</v>
      </c>
      <c r="E164" s="87"/>
      <c r="F164" s="85" t="s">
        <v>1688</v>
      </c>
    </row>
    <row r="165" spans="1:6" x14ac:dyDescent="0.2">
      <c r="A165" s="85" t="s">
        <v>229</v>
      </c>
      <c r="B165" s="91" t="s">
        <v>1750</v>
      </c>
      <c r="C165" s="89" t="s">
        <v>1810</v>
      </c>
      <c r="D165" s="85" t="s">
        <v>1838</v>
      </c>
      <c r="E165" s="87"/>
      <c r="F165" s="85" t="s">
        <v>118</v>
      </c>
    </row>
    <row r="166" spans="1:6" x14ac:dyDescent="0.2">
      <c r="A166" s="85" t="s">
        <v>121</v>
      </c>
      <c r="B166" s="91" t="s">
        <v>1750</v>
      </c>
      <c r="C166" s="89" t="s">
        <v>1810</v>
      </c>
      <c r="D166" s="85" t="s">
        <v>122</v>
      </c>
      <c r="E166" s="87"/>
      <c r="F166" s="85" t="s">
        <v>118</v>
      </c>
    </row>
    <row r="167" spans="1:6" x14ac:dyDescent="0.2">
      <c r="A167" s="85" t="s">
        <v>1839</v>
      </c>
      <c r="B167" s="91" t="s">
        <v>1750</v>
      </c>
      <c r="C167" s="89" t="s">
        <v>1810</v>
      </c>
      <c r="D167" s="85" t="s">
        <v>1840</v>
      </c>
      <c r="E167" s="87"/>
      <c r="F167" s="85" t="s">
        <v>1688</v>
      </c>
    </row>
    <row r="168" spans="1:6" x14ac:dyDescent="0.2">
      <c r="A168" s="85" t="s">
        <v>1841</v>
      </c>
      <c r="B168" s="91" t="s">
        <v>1750</v>
      </c>
      <c r="C168" s="89" t="s">
        <v>1810</v>
      </c>
      <c r="D168" s="85" t="s">
        <v>1842</v>
      </c>
      <c r="E168" s="87"/>
      <c r="F168" s="85" t="s">
        <v>1674</v>
      </c>
    </row>
    <row r="169" spans="1:6" x14ac:dyDescent="0.2">
      <c r="A169" s="85" t="s">
        <v>1843</v>
      </c>
      <c r="B169" s="91" t="s">
        <v>1750</v>
      </c>
      <c r="C169" s="89" t="s">
        <v>1810</v>
      </c>
      <c r="D169" s="85" t="s">
        <v>1844</v>
      </c>
      <c r="E169" s="87"/>
      <c r="F169" s="85" t="s">
        <v>1688</v>
      </c>
    </row>
    <row r="170" spans="1:6" x14ac:dyDescent="0.2">
      <c r="A170" s="85" t="s">
        <v>1845</v>
      </c>
      <c r="B170" s="91" t="s">
        <v>1750</v>
      </c>
      <c r="C170" s="89" t="s">
        <v>1810</v>
      </c>
      <c r="D170" s="85" t="s">
        <v>1846</v>
      </c>
      <c r="E170" s="87"/>
      <c r="F170" s="85" t="s">
        <v>1688</v>
      </c>
    </row>
    <row r="171" spans="1:6" x14ac:dyDescent="0.2">
      <c r="A171" s="85" t="s">
        <v>1847</v>
      </c>
      <c r="B171" s="91" t="s">
        <v>1750</v>
      </c>
      <c r="C171" s="89" t="s">
        <v>1810</v>
      </c>
      <c r="D171" s="85" t="s">
        <v>1848</v>
      </c>
      <c r="E171" s="87"/>
      <c r="F171" s="85" t="s">
        <v>1688</v>
      </c>
    </row>
    <row r="172" spans="1:6" x14ac:dyDescent="0.2">
      <c r="A172" s="96" t="s">
        <v>1849</v>
      </c>
      <c r="B172" s="91" t="s">
        <v>1750</v>
      </c>
      <c r="C172" s="89" t="s">
        <v>1810</v>
      </c>
      <c r="D172" s="97" t="s">
        <v>1850</v>
      </c>
      <c r="E172" s="97"/>
      <c r="F172" s="101"/>
    </row>
    <row r="173" spans="1:6" x14ac:dyDescent="0.25">
      <c r="A173" s="85" t="s">
        <v>1851</v>
      </c>
      <c r="B173" s="91" t="s">
        <v>1750</v>
      </c>
      <c r="C173" s="89" t="s">
        <v>1810</v>
      </c>
      <c r="D173" s="97" t="s">
        <v>1850</v>
      </c>
      <c r="E173" s="86" t="s">
        <v>1852</v>
      </c>
      <c r="F173" s="85" t="s">
        <v>1556</v>
      </c>
    </row>
    <row r="174" spans="1:6" x14ac:dyDescent="0.25">
      <c r="A174" s="85" t="s">
        <v>1853</v>
      </c>
      <c r="B174" s="91" t="s">
        <v>1750</v>
      </c>
      <c r="C174" s="89" t="s">
        <v>1810</v>
      </c>
      <c r="D174" s="97" t="s">
        <v>1850</v>
      </c>
      <c r="E174" s="86" t="s">
        <v>1854</v>
      </c>
      <c r="F174" s="85" t="s">
        <v>180</v>
      </c>
    </row>
    <row r="175" spans="1:6" x14ac:dyDescent="0.25">
      <c r="A175" s="85" t="s">
        <v>1855</v>
      </c>
      <c r="B175" s="91" t="s">
        <v>1750</v>
      </c>
      <c r="C175" s="89" t="s">
        <v>1810</v>
      </c>
      <c r="D175" s="97" t="s">
        <v>1850</v>
      </c>
      <c r="E175" s="86" t="s">
        <v>1555</v>
      </c>
      <c r="F175" s="85" t="s">
        <v>1556</v>
      </c>
    </row>
    <row r="176" spans="1:6" x14ac:dyDescent="0.25">
      <c r="A176" s="85" t="s">
        <v>1856</v>
      </c>
      <c r="B176" s="91" t="s">
        <v>1750</v>
      </c>
      <c r="C176" s="89" t="s">
        <v>1810</v>
      </c>
      <c r="D176" s="97" t="s">
        <v>1850</v>
      </c>
      <c r="E176" s="86" t="s">
        <v>1857</v>
      </c>
      <c r="F176" s="85" t="s">
        <v>1688</v>
      </c>
    </row>
    <row r="177" spans="1:6" x14ac:dyDescent="0.25">
      <c r="A177" s="85" t="s">
        <v>1858</v>
      </c>
      <c r="B177" s="91" t="s">
        <v>1750</v>
      </c>
      <c r="C177" s="89" t="s">
        <v>1810</v>
      </c>
      <c r="D177" s="97" t="s">
        <v>1850</v>
      </c>
      <c r="E177" s="86" t="s">
        <v>1859</v>
      </c>
      <c r="F177" s="85" t="s">
        <v>1688</v>
      </c>
    </row>
    <row r="178" spans="1:6" x14ac:dyDescent="0.25">
      <c r="A178" s="85" t="s">
        <v>1860</v>
      </c>
      <c r="B178" s="91" t="s">
        <v>1750</v>
      </c>
      <c r="C178" s="89" t="s">
        <v>1810</v>
      </c>
      <c r="D178" s="97" t="s">
        <v>1850</v>
      </c>
      <c r="E178" s="86" t="s">
        <v>1861</v>
      </c>
      <c r="F178" s="85" t="s">
        <v>109</v>
      </c>
    </row>
    <row r="179" spans="1:6" x14ac:dyDescent="0.25">
      <c r="A179" s="85" t="s">
        <v>1862</v>
      </c>
      <c r="B179" s="91" t="s">
        <v>1750</v>
      </c>
      <c r="C179" s="89" t="s">
        <v>1810</v>
      </c>
      <c r="D179" s="97" t="s">
        <v>1850</v>
      </c>
      <c r="E179" s="86" t="s">
        <v>1863</v>
      </c>
      <c r="F179" s="85" t="s">
        <v>109</v>
      </c>
    </row>
    <row r="180" spans="1:6" x14ac:dyDescent="0.25">
      <c r="A180" s="85" t="s">
        <v>1864</v>
      </c>
      <c r="B180" s="91" t="s">
        <v>1750</v>
      </c>
      <c r="C180" s="89" t="s">
        <v>1810</v>
      </c>
      <c r="D180" s="97" t="s">
        <v>1850</v>
      </c>
      <c r="E180" s="86" t="s">
        <v>1865</v>
      </c>
      <c r="F180" s="85" t="s">
        <v>1674</v>
      </c>
    </row>
    <row r="181" spans="1:6" x14ac:dyDescent="0.25">
      <c r="A181" s="85" t="s">
        <v>1866</v>
      </c>
      <c r="B181" s="91" t="s">
        <v>1750</v>
      </c>
      <c r="C181" s="89" t="s">
        <v>1810</v>
      </c>
      <c r="D181" s="97" t="s">
        <v>1850</v>
      </c>
      <c r="E181" s="86" t="s">
        <v>1867</v>
      </c>
      <c r="F181" s="85" t="s">
        <v>1674</v>
      </c>
    </row>
    <row r="182" spans="1:6" x14ac:dyDescent="0.25">
      <c r="A182" s="85" t="s">
        <v>1868</v>
      </c>
      <c r="B182" s="91" t="s">
        <v>1750</v>
      </c>
      <c r="C182" s="89" t="s">
        <v>1810</v>
      </c>
      <c r="D182" s="97" t="s">
        <v>1850</v>
      </c>
      <c r="E182" s="86" t="s">
        <v>1869</v>
      </c>
      <c r="F182" s="85" t="s">
        <v>180</v>
      </c>
    </row>
    <row r="183" spans="1:6" x14ac:dyDescent="0.25">
      <c r="A183" s="85" t="s">
        <v>1870</v>
      </c>
      <c r="B183" s="91" t="s">
        <v>1750</v>
      </c>
      <c r="C183" s="89" t="s">
        <v>1810</v>
      </c>
      <c r="D183" s="97" t="s">
        <v>1850</v>
      </c>
      <c r="E183" s="86" t="s">
        <v>1871</v>
      </c>
      <c r="F183" s="85" t="s">
        <v>1674</v>
      </c>
    </row>
    <row r="184" spans="1:6" x14ac:dyDescent="0.2">
      <c r="A184" s="85" t="s">
        <v>1872</v>
      </c>
      <c r="B184" s="91" t="s">
        <v>1750</v>
      </c>
      <c r="C184" s="89" t="s">
        <v>1810</v>
      </c>
      <c r="D184" s="85" t="s">
        <v>1873</v>
      </c>
      <c r="E184" s="87"/>
      <c r="F184" s="85" t="s">
        <v>1688</v>
      </c>
    </row>
    <row r="185" spans="1:6" x14ac:dyDescent="0.2">
      <c r="A185" s="85" t="s">
        <v>1874</v>
      </c>
      <c r="B185" s="91" t="s">
        <v>1750</v>
      </c>
      <c r="C185" s="89" t="s">
        <v>1810</v>
      </c>
      <c r="D185" s="85" t="s">
        <v>1875</v>
      </c>
      <c r="E185" s="87"/>
      <c r="F185" s="85" t="s">
        <v>1556</v>
      </c>
    </row>
    <row r="186" spans="1:6" x14ac:dyDescent="0.2">
      <c r="A186" s="85" t="s">
        <v>1876</v>
      </c>
      <c r="B186" s="91" t="s">
        <v>1750</v>
      </c>
      <c r="C186" s="89" t="s">
        <v>1810</v>
      </c>
      <c r="D186" s="85" t="s">
        <v>1877</v>
      </c>
      <c r="E186" s="87"/>
      <c r="F186" s="85" t="s">
        <v>180</v>
      </c>
    </row>
    <row r="187" spans="1:6" x14ac:dyDescent="0.2">
      <c r="A187" s="85" t="s">
        <v>207</v>
      </c>
      <c r="B187" s="91" t="s">
        <v>1750</v>
      </c>
      <c r="C187" s="89" t="s">
        <v>1810</v>
      </c>
      <c r="D187" s="85" t="s">
        <v>208</v>
      </c>
      <c r="E187" s="87"/>
      <c r="F187" s="85" t="s">
        <v>109</v>
      </c>
    </row>
    <row r="188" spans="1:6" x14ac:dyDescent="0.2">
      <c r="A188" s="85" t="s">
        <v>209</v>
      </c>
      <c r="B188" s="91" t="s">
        <v>1750</v>
      </c>
      <c r="C188" s="89" t="s">
        <v>1810</v>
      </c>
      <c r="D188" s="85" t="s">
        <v>210</v>
      </c>
      <c r="E188" s="87"/>
      <c r="F188" s="85" t="s">
        <v>109</v>
      </c>
    </row>
    <row r="189" spans="1:6" x14ac:dyDescent="0.2">
      <c r="A189" s="85" t="s">
        <v>1878</v>
      </c>
      <c r="B189" s="91" t="s">
        <v>1750</v>
      </c>
      <c r="C189" s="89" t="s">
        <v>1810</v>
      </c>
      <c r="D189" s="85" t="s">
        <v>1879</v>
      </c>
      <c r="E189" s="87"/>
      <c r="F189" s="85" t="s">
        <v>1880</v>
      </c>
    </row>
    <row r="190" spans="1:6" x14ac:dyDescent="0.2">
      <c r="A190" s="85" t="s">
        <v>1881</v>
      </c>
      <c r="B190" s="91" t="s">
        <v>1750</v>
      </c>
      <c r="C190" s="89" t="s">
        <v>1810</v>
      </c>
      <c r="D190" s="85" t="s">
        <v>1882</v>
      </c>
      <c r="E190" s="87"/>
      <c r="F190" s="85" t="s">
        <v>180</v>
      </c>
    </row>
    <row r="191" spans="1:6" x14ac:dyDescent="0.25">
      <c r="A191" s="85" t="s">
        <v>1883</v>
      </c>
      <c r="B191" s="91" t="s">
        <v>1750</v>
      </c>
      <c r="C191" s="89" t="s">
        <v>1810</v>
      </c>
      <c r="D191" s="95" t="s">
        <v>1884</v>
      </c>
      <c r="E191" s="94"/>
      <c r="F191" s="102" t="s">
        <v>1885</v>
      </c>
    </row>
    <row r="192" spans="1:6" x14ac:dyDescent="0.2">
      <c r="A192" s="96" t="s">
        <v>1886</v>
      </c>
      <c r="B192" s="91" t="s">
        <v>1750</v>
      </c>
      <c r="C192" s="89" t="s">
        <v>1810</v>
      </c>
      <c r="D192" s="97" t="s">
        <v>1887</v>
      </c>
      <c r="E192" s="97"/>
      <c r="F192" s="101"/>
    </row>
    <row r="193" spans="1:6" x14ac:dyDescent="0.25">
      <c r="A193" s="85" t="s">
        <v>1888</v>
      </c>
      <c r="B193" s="91" t="s">
        <v>1750</v>
      </c>
      <c r="C193" s="89" t="s">
        <v>1810</v>
      </c>
      <c r="D193" s="97" t="s">
        <v>1887</v>
      </c>
      <c r="E193" s="86" t="s">
        <v>1889</v>
      </c>
      <c r="F193" s="85" t="s">
        <v>180</v>
      </c>
    </row>
    <row r="194" spans="1:6" x14ac:dyDescent="0.25">
      <c r="A194" s="85" t="s">
        <v>1890</v>
      </c>
      <c r="B194" s="91" t="s">
        <v>1750</v>
      </c>
      <c r="C194" s="89" t="s">
        <v>1810</v>
      </c>
      <c r="D194" s="97" t="s">
        <v>1887</v>
      </c>
      <c r="E194" s="86" t="s">
        <v>1891</v>
      </c>
      <c r="F194" s="85" t="s">
        <v>180</v>
      </c>
    </row>
    <row r="195" spans="1:6" x14ac:dyDescent="0.25">
      <c r="A195" s="85" t="s">
        <v>1892</v>
      </c>
      <c r="B195" s="91" t="s">
        <v>1750</v>
      </c>
      <c r="C195" s="89" t="s">
        <v>1810</v>
      </c>
      <c r="D195" s="97" t="s">
        <v>1887</v>
      </c>
      <c r="E195" s="86" t="s">
        <v>1893</v>
      </c>
      <c r="F195" s="85" t="s">
        <v>180</v>
      </c>
    </row>
    <row r="196" spans="1:6" x14ac:dyDescent="0.25">
      <c r="A196" s="85" t="s">
        <v>1894</v>
      </c>
      <c r="B196" s="91" t="s">
        <v>1750</v>
      </c>
      <c r="C196" s="89" t="s">
        <v>1810</v>
      </c>
      <c r="D196" s="97" t="s">
        <v>1887</v>
      </c>
      <c r="E196" s="86" t="s">
        <v>1895</v>
      </c>
      <c r="F196" s="85" t="s">
        <v>180</v>
      </c>
    </row>
    <row r="197" spans="1:6" x14ac:dyDescent="0.25">
      <c r="A197" s="85" t="s">
        <v>1896</v>
      </c>
      <c r="B197" s="91" t="s">
        <v>1750</v>
      </c>
      <c r="C197" s="89" t="s">
        <v>1810</v>
      </c>
      <c r="D197" s="97" t="s">
        <v>1887</v>
      </c>
      <c r="E197" s="86" t="s">
        <v>1897</v>
      </c>
      <c r="F197" s="85" t="s">
        <v>180</v>
      </c>
    </row>
    <row r="198" spans="1:6" x14ac:dyDescent="0.2">
      <c r="A198" s="96" t="s">
        <v>1898</v>
      </c>
      <c r="B198" s="91" t="s">
        <v>1750</v>
      </c>
      <c r="C198" s="89" t="s">
        <v>1810</v>
      </c>
      <c r="D198" s="97" t="s">
        <v>1899</v>
      </c>
      <c r="E198" s="97"/>
      <c r="F198" s="101"/>
    </row>
    <row r="199" spans="1:6" x14ac:dyDescent="0.25">
      <c r="A199" s="85" t="s">
        <v>1900</v>
      </c>
      <c r="B199" s="91" t="s">
        <v>1750</v>
      </c>
      <c r="C199" s="89" t="s">
        <v>1810</v>
      </c>
      <c r="D199" s="97" t="s">
        <v>1899</v>
      </c>
      <c r="E199" s="86" t="s">
        <v>1901</v>
      </c>
      <c r="F199" s="86" t="s">
        <v>191</v>
      </c>
    </row>
    <row r="200" spans="1:6" x14ac:dyDescent="0.25">
      <c r="A200" s="85" t="s">
        <v>1902</v>
      </c>
      <c r="B200" s="91" t="s">
        <v>1750</v>
      </c>
      <c r="C200" s="89" t="s">
        <v>1810</v>
      </c>
      <c r="D200" s="97" t="s">
        <v>1899</v>
      </c>
      <c r="E200" s="86" t="s">
        <v>1903</v>
      </c>
      <c r="F200" s="86" t="s">
        <v>191</v>
      </c>
    </row>
    <row r="201" spans="1:6" x14ac:dyDescent="0.25">
      <c r="A201" s="85" t="s">
        <v>1904</v>
      </c>
      <c r="B201" s="91" t="s">
        <v>1750</v>
      </c>
      <c r="C201" s="89" t="s">
        <v>1810</v>
      </c>
      <c r="D201" s="97" t="s">
        <v>1899</v>
      </c>
      <c r="E201" s="86" t="s">
        <v>1905</v>
      </c>
      <c r="F201" s="86" t="s">
        <v>191</v>
      </c>
    </row>
    <row r="202" spans="1:6" x14ac:dyDescent="0.25">
      <c r="A202" s="85" t="s">
        <v>1906</v>
      </c>
      <c r="B202" s="91" t="s">
        <v>1750</v>
      </c>
      <c r="C202" s="89" t="s">
        <v>1810</v>
      </c>
      <c r="D202" s="97" t="s">
        <v>1899</v>
      </c>
      <c r="E202" s="86" t="s">
        <v>1907</v>
      </c>
      <c r="F202" s="86" t="s">
        <v>191</v>
      </c>
    </row>
    <row r="203" spans="1:6" x14ac:dyDescent="0.25">
      <c r="A203" s="85" t="s">
        <v>1908</v>
      </c>
      <c r="B203" s="91" t="s">
        <v>1750</v>
      </c>
      <c r="C203" s="89" t="s">
        <v>1810</v>
      </c>
      <c r="D203" s="97" t="s">
        <v>1899</v>
      </c>
      <c r="E203" s="86" t="s">
        <v>1909</v>
      </c>
      <c r="F203" s="86" t="s">
        <v>191</v>
      </c>
    </row>
    <row r="204" spans="1:6" x14ac:dyDescent="0.25">
      <c r="A204" s="85" t="s">
        <v>1910</v>
      </c>
      <c r="B204" s="91" t="s">
        <v>1750</v>
      </c>
      <c r="C204" s="89" t="s">
        <v>1810</v>
      </c>
      <c r="D204" s="97" t="s">
        <v>1899</v>
      </c>
      <c r="E204" s="86" t="s">
        <v>1911</v>
      </c>
      <c r="F204" s="86" t="s">
        <v>191</v>
      </c>
    </row>
    <row r="205" spans="1:6" x14ac:dyDescent="0.25">
      <c r="A205" s="85" t="s">
        <v>1912</v>
      </c>
      <c r="B205" s="91" t="s">
        <v>1750</v>
      </c>
      <c r="C205" s="89" t="s">
        <v>1810</v>
      </c>
      <c r="D205" s="97" t="s">
        <v>1899</v>
      </c>
      <c r="E205" s="86" t="s">
        <v>1913</v>
      </c>
      <c r="F205" s="86" t="s">
        <v>191</v>
      </c>
    </row>
    <row r="206" spans="1:6" x14ac:dyDescent="0.25">
      <c r="A206" s="85" t="s">
        <v>1914</v>
      </c>
      <c r="B206" s="91" t="s">
        <v>1750</v>
      </c>
      <c r="C206" s="89" t="s">
        <v>1810</v>
      </c>
      <c r="D206" s="97" t="s">
        <v>1899</v>
      </c>
      <c r="E206" s="86" t="s">
        <v>1915</v>
      </c>
      <c r="F206" s="86" t="s">
        <v>191</v>
      </c>
    </row>
    <row r="207" spans="1:6" x14ac:dyDescent="0.25">
      <c r="A207" s="85" t="s">
        <v>1916</v>
      </c>
      <c r="B207" s="91" t="s">
        <v>1750</v>
      </c>
      <c r="C207" s="89" t="s">
        <v>1810</v>
      </c>
      <c r="D207" s="97" t="s">
        <v>1899</v>
      </c>
      <c r="E207" s="86" t="s">
        <v>1917</v>
      </c>
      <c r="F207" s="86" t="s">
        <v>191</v>
      </c>
    </row>
    <row r="208" spans="1:6" x14ac:dyDescent="0.25">
      <c r="A208" s="85" t="s">
        <v>1918</v>
      </c>
      <c r="B208" s="91" t="s">
        <v>1750</v>
      </c>
      <c r="C208" s="89" t="s">
        <v>1810</v>
      </c>
      <c r="D208" s="97" t="s">
        <v>1899</v>
      </c>
      <c r="E208" s="86" t="s">
        <v>1919</v>
      </c>
      <c r="F208" s="86" t="s">
        <v>191</v>
      </c>
    </row>
    <row r="209" spans="1:6" x14ac:dyDescent="0.25">
      <c r="A209" s="85" t="s">
        <v>1920</v>
      </c>
      <c r="B209" s="91" t="s">
        <v>1750</v>
      </c>
      <c r="C209" s="89" t="s">
        <v>1810</v>
      </c>
      <c r="D209" s="97" t="s">
        <v>1899</v>
      </c>
      <c r="E209" s="86" t="s">
        <v>1921</v>
      </c>
      <c r="F209" s="86" t="s">
        <v>191</v>
      </c>
    </row>
    <row r="210" spans="1:6" x14ac:dyDescent="0.25">
      <c r="A210" s="85" t="s">
        <v>1922</v>
      </c>
      <c r="B210" s="91" t="s">
        <v>1750</v>
      </c>
      <c r="C210" s="89" t="s">
        <v>1810</v>
      </c>
      <c r="D210" s="97" t="s">
        <v>1899</v>
      </c>
      <c r="E210" s="86" t="s">
        <v>1923</v>
      </c>
      <c r="F210" s="86" t="s">
        <v>191</v>
      </c>
    </row>
    <row r="211" spans="1:6" x14ac:dyDescent="0.25">
      <c r="A211" s="85" t="s">
        <v>1924</v>
      </c>
      <c r="B211" s="91" t="s">
        <v>1750</v>
      </c>
      <c r="C211" s="89" t="s">
        <v>1810</v>
      </c>
      <c r="D211" s="97" t="s">
        <v>1899</v>
      </c>
      <c r="E211" s="86" t="s">
        <v>1925</v>
      </c>
      <c r="F211" s="86" t="s">
        <v>191</v>
      </c>
    </row>
    <row r="212" spans="1:6" x14ac:dyDescent="0.25">
      <c r="A212" s="85" t="s">
        <v>1926</v>
      </c>
      <c r="B212" s="91" t="s">
        <v>1750</v>
      </c>
      <c r="C212" s="89" t="s">
        <v>1810</v>
      </c>
      <c r="D212" s="97" t="s">
        <v>1899</v>
      </c>
      <c r="E212" s="86" t="s">
        <v>1927</v>
      </c>
      <c r="F212" s="86" t="s">
        <v>191</v>
      </c>
    </row>
    <row r="213" spans="1:6" x14ac:dyDescent="0.25">
      <c r="A213" s="88" t="s">
        <v>1928</v>
      </c>
      <c r="B213" s="91" t="s">
        <v>1750</v>
      </c>
      <c r="C213" s="89" t="s">
        <v>1929</v>
      </c>
      <c r="D213" s="97" t="s">
        <v>1899</v>
      </c>
      <c r="E213" s="89"/>
      <c r="F213" s="89"/>
    </row>
    <row r="214" spans="1:6" x14ac:dyDescent="0.2">
      <c r="A214" s="85" t="s">
        <v>284</v>
      </c>
      <c r="B214" s="91" t="s">
        <v>1750</v>
      </c>
      <c r="C214" s="89" t="s">
        <v>1929</v>
      </c>
      <c r="D214" s="85" t="s">
        <v>1930</v>
      </c>
      <c r="E214" s="87"/>
      <c r="F214" s="85" t="s">
        <v>148</v>
      </c>
    </row>
    <row r="215" spans="1:6" x14ac:dyDescent="0.25">
      <c r="A215" s="96" t="s">
        <v>234</v>
      </c>
      <c r="B215" s="91" t="s">
        <v>1750</v>
      </c>
      <c r="C215" s="89" t="s">
        <v>1929</v>
      </c>
      <c r="D215" s="97" t="s">
        <v>168</v>
      </c>
      <c r="E215" s="97"/>
      <c r="F215" s="98" t="s">
        <v>164</v>
      </c>
    </row>
    <row r="216" spans="1:6" x14ac:dyDescent="0.25">
      <c r="A216" s="85" t="s">
        <v>235</v>
      </c>
      <c r="B216" s="91" t="s">
        <v>1750</v>
      </c>
      <c r="C216" s="89" t="s">
        <v>1929</v>
      </c>
      <c r="D216" s="97" t="s">
        <v>168</v>
      </c>
      <c r="E216" s="86" t="s">
        <v>1931</v>
      </c>
      <c r="F216" s="85" t="s">
        <v>164</v>
      </c>
    </row>
    <row r="217" spans="1:6" x14ac:dyDescent="0.25">
      <c r="A217" s="85" t="s">
        <v>236</v>
      </c>
      <c r="B217" s="91" t="s">
        <v>1750</v>
      </c>
      <c r="C217" s="89" t="s">
        <v>1929</v>
      </c>
      <c r="D217" s="97" t="s">
        <v>168</v>
      </c>
      <c r="E217" s="86" t="s">
        <v>1932</v>
      </c>
      <c r="F217" s="85" t="s">
        <v>164</v>
      </c>
    </row>
    <row r="218" spans="1:6" x14ac:dyDescent="0.25">
      <c r="A218" s="96" t="s">
        <v>167</v>
      </c>
      <c r="B218" s="91" t="s">
        <v>1750</v>
      </c>
      <c r="C218" s="89" t="s">
        <v>1929</v>
      </c>
      <c r="D218" s="97" t="s">
        <v>169</v>
      </c>
      <c r="E218" s="97"/>
      <c r="F218" s="98" t="s">
        <v>164</v>
      </c>
    </row>
    <row r="219" spans="1:6" x14ac:dyDescent="0.25">
      <c r="A219" s="85" t="s">
        <v>237</v>
      </c>
      <c r="B219" s="91" t="s">
        <v>1750</v>
      </c>
      <c r="C219" s="89" t="s">
        <v>1929</v>
      </c>
      <c r="D219" s="97" t="s">
        <v>169</v>
      </c>
      <c r="E219" s="86" t="s">
        <v>1933</v>
      </c>
      <c r="F219" s="85" t="s">
        <v>164</v>
      </c>
    </row>
    <row r="220" spans="1:6" x14ac:dyDescent="0.25">
      <c r="A220" s="85" t="s">
        <v>238</v>
      </c>
      <c r="B220" s="91" t="s">
        <v>1750</v>
      </c>
      <c r="C220" s="89" t="s">
        <v>1929</v>
      </c>
      <c r="D220" s="97" t="s">
        <v>169</v>
      </c>
      <c r="E220" s="86" t="s">
        <v>1934</v>
      </c>
      <c r="F220" s="85" t="s">
        <v>164</v>
      </c>
    </row>
    <row r="221" spans="1:6" x14ac:dyDescent="0.25">
      <c r="A221" s="85" t="s">
        <v>239</v>
      </c>
      <c r="B221" s="91" t="s">
        <v>1750</v>
      </c>
      <c r="C221" s="89" t="s">
        <v>1929</v>
      </c>
      <c r="D221" s="97" t="s">
        <v>169</v>
      </c>
      <c r="E221" s="86" t="s">
        <v>1935</v>
      </c>
      <c r="F221" s="85" t="s">
        <v>164</v>
      </c>
    </row>
    <row r="222" spans="1:6" x14ac:dyDescent="0.25">
      <c r="A222" s="85" t="s">
        <v>240</v>
      </c>
      <c r="B222" s="91" t="s">
        <v>1750</v>
      </c>
      <c r="C222" s="89" t="s">
        <v>1929</v>
      </c>
      <c r="D222" s="97" t="s">
        <v>169</v>
      </c>
      <c r="E222" s="86" t="s">
        <v>1936</v>
      </c>
      <c r="F222" s="85" t="s">
        <v>164</v>
      </c>
    </row>
    <row r="223" spans="1:6" x14ac:dyDescent="0.2">
      <c r="A223" s="85" t="s">
        <v>151</v>
      </c>
      <c r="B223" s="91" t="s">
        <v>1750</v>
      </c>
      <c r="C223" s="89" t="s">
        <v>1929</v>
      </c>
      <c r="D223" s="85" t="s">
        <v>155</v>
      </c>
      <c r="E223" s="87"/>
      <c r="F223" s="85" t="s">
        <v>148</v>
      </c>
    </row>
    <row r="224" spans="1:6" x14ac:dyDescent="0.25">
      <c r="A224" s="96" t="s">
        <v>241</v>
      </c>
      <c r="B224" s="91" t="s">
        <v>1750</v>
      </c>
      <c r="C224" s="89" t="s">
        <v>1929</v>
      </c>
      <c r="D224" s="97" t="s">
        <v>1937</v>
      </c>
      <c r="E224" s="97"/>
      <c r="F224" s="98" t="s">
        <v>164</v>
      </c>
    </row>
    <row r="225" spans="1:6" x14ac:dyDescent="0.25">
      <c r="A225" s="85" t="s">
        <v>242</v>
      </c>
      <c r="B225" s="91" t="s">
        <v>1750</v>
      </c>
      <c r="C225" s="89" t="s">
        <v>1929</v>
      </c>
      <c r="D225" s="97" t="s">
        <v>1937</v>
      </c>
      <c r="E225" s="86" t="s">
        <v>1938</v>
      </c>
      <c r="F225" s="85" t="s">
        <v>164</v>
      </c>
    </row>
    <row r="226" spans="1:6" x14ac:dyDescent="0.25">
      <c r="A226" s="85" t="s">
        <v>243</v>
      </c>
      <c r="B226" s="91" t="s">
        <v>1750</v>
      </c>
      <c r="C226" s="89" t="s">
        <v>1929</v>
      </c>
      <c r="D226" s="97" t="s">
        <v>1937</v>
      </c>
      <c r="E226" s="86" t="s">
        <v>1939</v>
      </c>
      <c r="F226" s="85" t="s">
        <v>164</v>
      </c>
    </row>
    <row r="227" spans="1:6" x14ac:dyDescent="0.25">
      <c r="A227" s="96" t="s">
        <v>285</v>
      </c>
      <c r="B227" s="91" t="s">
        <v>1750</v>
      </c>
      <c r="C227" s="89" t="s">
        <v>1929</v>
      </c>
      <c r="D227" s="97" t="s">
        <v>1940</v>
      </c>
      <c r="E227" s="97"/>
      <c r="F227" s="98" t="s">
        <v>148</v>
      </c>
    </row>
    <row r="228" spans="1:6" x14ac:dyDescent="0.25">
      <c r="A228" s="85" t="s">
        <v>250</v>
      </c>
      <c r="B228" s="91" t="s">
        <v>1750</v>
      </c>
      <c r="C228" s="89" t="s">
        <v>1929</v>
      </c>
      <c r="D228" s="97" t="s">
        <v>1940</v>
      </c>
      <c r="E228" s="86" t="s">
        <v>1941</v>
      </c>
      <c r="F228" s="85" t="s">
        <v>148</v>
      </c>
    </row>
    <row r="229" spans="1:6" x14ac:dyDescent="0.2">
      <c r="A229" s="85" t="s">
        <v>1942</v>
      </c>
      <c r="B229" s="91" t="s">
        <v>1750</v>
      </c>
      <c r="C229" s="89" t="s">
        <v>1929</v>
      </c>
      <c r="D229" s="97" t="s">
        <v>1940</v>
      </c>
      <c r="E229" s="86" t="s">
        <v>1943</v>
      </c>
      <c r="F229" s="92"/>
    </row>
    <row r="230" spans="1:6" x14ac:dyDescent="0.2">
      <c r="A230" s="85" t="s">
        <v>1944</v>
      </c>
      <c r="B230" s="91" t="s">
        <v>1750</v>
      </c>
      <c r="C230" s="89" t="s">
        <v>1929</v>
      </c>
      <c r="D230" s="97" t="s">
        <v>1940</v>
      </c>
      <c r="E230" s="86" t="s">
        <v>1945</v>
      </c>
      <c r="F230" s="92"/>
    </row>
    <row r="231" spans="1:6" x14ac:dyDescent="0.25">
      <c r="A231" s="88" t="s">
        <v>1946</v>
      </c>
      <c r="B231" s="91" t="s">
        <v>1750</v>
      </c>
      <c r="C231" s="89" t="s">
        <v>1947</v>
      </c>
      <c r="D231" s="89"/>
      <c r="E231" s="89"/>
      <c r="F231" s="89"/>
    </row>
    <row r="232" spans="1:6" x14ac:dyDescent="0.2">
      <c r="A232" s="85" t="s">
        <v>1948</v>
      </c>
      <c r="B232" s="91" t="s">
        <v>1750</v>
      </c>
      <c r="C232" s="89" t="s">
        <v>1947</v>
      </c>
      <c r="D232" s="85" t="s">
        <v>1949</v>
      </c>
      <c r="E232" s="87"/>
      <c r="F232" s="85" t="s">
        <v>1622</v>
      </c>
    </row>
    <row r="233" spans="1:6" x14ac:dyDescent="0.2">
      <c r="A233" s="85" t="s">
        <v>1950</v>
      </c>
      <c r="B233" s="91" t="s">
        <v>1750</v>
      </c>
      <c r="C233" s="89" t="s">
        <v>1947</v>
      </c>
      <c r="D233" s="85" t="s">
        <v>1951</v>
      </c>
      <c r="E233" s="87"/>
      <c r="F233" s="85" t="s">
        <v>1622</v>
      </c>
    </row>
    <row r="234" spans="1:6" x14ac:dyDescent="0.2">
      <c r="A234" s="85" t="s">
        <v>1952</v>
      </c>
      <c r="B234" s="91" t="s">
        <v>1750</v>
      </c>
      <c r="C234" s="89" t="s">
        <v>1947</v>
      </c>
      <c r="D234" s="85" t="s">
        <v>1953</v>
      </c>
      <c r="E234" s="87"/>
      <c r="F234" s="85" t="s">
        <v>1622</v>
      </c>
    </row>
    <row r="235" spans="1:6" x14ac:dyDescent="0.2">
      <c r="A235" s="85" t="s">
        <v>1954</v>
      </c>
      <c r="B235" s="91" t="s">
        <v>1750</v>
      </c>
      <c r="C235" s="89" t="s">
        <v>1947</v>
      </c>
      <c r="D235" s="85" t="s">
        <v>1955</v>
      </c>
      <c r="E235" s="87"/>
      <c r="F235" s="85" t="s">
        <v>1622</v>
      </c>
    </row>
    <row r="236" spans="1:6" x14ac:dyDescent="0.2">
      <c r="A236" s="85" t="s">
        <v>1956</v>
      </c>
      <c r="B236" s="91" t="s">
        <v>1750</v>
      </c>
      <c r="C236" s="89" t="s">
        <v>1947</v>
      </c>
      <c r="D236" s="85" t="s">
        <v>1957</v>
      </c>
      <c r="E236" s="87"/>
      <c r="F236" s="85" t="s">
        <v>1622</v>
      </c>
    </row>
    <row r="237" spans="1:6" x14ac:dyDescent="0.2">
      <c r="A237" s="85" t="s">
        <v>1958</v>
      </c>
      <c r="B237" s="91" t="s">
        <v>1750</v>
      </c>
      <c r="C237" s="89" t="s">
        <v>1947</v>
      </c>
      <c r="D237" s="85" t="s">
        <v>1959</v>
      </c>
      <c r="E237" s="87"/>
      <c r="F237" s="85" t="s">
        <v>1622</v>
      </c>
    </row>
    <row r="238" spans="1:6" x14ac:dyDescent="0.2">
      <c r="A238" s="85" t="s">
        <v>1960</v>
      </c>
      <c r="B238" s="91" t="s">
        <v>1750</v>
      </c>
      <c r="C238" s="89" t="s">
        <v>1947</v>
      </c>
      <c r="D238" s="85" t="s">
        <v>1961</v>
      </c>
      <c r="E238" s="87"/>
      <c r="F238" s="85" t="s">
        <v>1962</v>
      </c>
    </row>
    <row r="239" spans="1:6" x14ac:dyDescent="0.2">
      <c r="A239" s="85" t="s">
        <v>1963</v>
      </c>
      <c r="B239" s="91" t="s">
        <v>1750</v>
      </c>
      <c r="C239" s="89" t="s">
        <v>1947</v>
      </c>
      <c r="D239" s="85" t="s">
        <v>1964</v>
      </c>
      <c r="E239" s="87"/>
      <c r="F239" s="85" t="s">
        <v>1622</v>
      </c>
    </row>
    <row r="240" spans="1:6" x14ac:dyDescent="0.2">
      <c r="A240" s="85" t="s">
        <v>1965</v>
      </c>
      <c r="B240" s="91" t="s">
        <v>1750</v>
      </c>
      <c r="C240" s="89" t="s">
        <v>1947</v>
      </c>
      <c r="D240" s="85" t="s">
        <v>1966</v>
      </c>
      <c r="E240" s="87"/>
      <c r="F240" s="85" t="s">
        <v>1622</v>
      </c>
    </row>
    <row r="241" spans="1:6" x14ac:dyDescent="0.25">
      <c r="A241" s="88" t="s">
        <v>1967</v>
      </c>
      <c r="B241" s="91" t="s">
        <v>1750</v>
      </c>
      <c r="C241" s="89" t="s">
        <v>1968</v>
      </c>
      <c r="D241" s="89"/>
      <c r="E241" s="89"/>
      <c r="F241" s="89"/>
    </row>
    <row r="242" spans="1:6" x14ac:dyDescent="0.2">
      <c r="A242" s="85" t="s">
        <v>1969</v>
      </c>
      <c r="B242" s="91" t="s">
        <v>1750</v>
      </c>
      <c r="C242" s="89" t="s">
        <v>1968</v>
      </c>
      <c r="D242" s="85" t="s">
        <v>1970</v>
      </c>
      <c r="E242" s="87"/>
      <c r="F242" s="85" t="s">
        <v>1971</v>
      </c>
    </row>
    <row r="243" spans="1:6" x14ac:dyDescent="0.2">
      <c r="A243" s="85" t="s">
        <v>1972</v>
      </c>
      <c r="B243" s="91" t="s">
        <v>1750</v>
      </c>
      <c r="C243" s="89" t="s">
        <v>1968</v>
      </c>
      <c r="D243" s="85" t="s">
        <v>1973</v>
      </c>
      <c r="E243" s="87"/>
      <c r="F243" s="85" t="s">
        <v>164</v>
      </c>
    </row>
    <row r="244" spans="1:6" x14ac:dyDescent="0.2">
      <c r="A244" s="85" t="s">
        <v>1974</v>
      </c>
      <c r="B244" s="91" t="s">
        <v>1750</v>
      </c>
      <c r="C244" s="89" t="s">
        <v>1968</v>
      </c>
      <c r="D244" s="85" t="s">
        <v>1975</v>
      </c>
      <c r="E244" s="87"/>
      <c r="F244" s="85" t="s">
        <v>1976</v>
      </c>
    </row>
    <row r="245" spans="1:6" x14ac:dyDescent="0.25">
      <c r="A245" s="88" t="s">
        <v>1977</v>
      </c>
      <c r="B245" s="91" t="s">
        <v>1750</v>
      </c>
      <c r="C245" s="89" t="s">
        <v>1978</v>
      </c>
      <c r="D245" s="89"/>
      <c r="E245" s="89"/>
      <c r="F245" s="89"/>
    </row>
    <row r="246" spans="1:6" x14ac:dyDescent="0.2">
      <c r="A246" s="85" t="s">
        <v>1979</v>
      </c>
      <c r="B246" s="91" t="s">
        <v>1750</v>
      </c>
      <c r="C246" s="89" t="s">
        <v>1978</v>
      </c>
      <c r="D246" s="85" t="s">
        <v>1980</v>
      </c>
      <c r="E246" s="87"/>
      <c r="F246" s="85" t="s">
        <v>1981</v>
      </c>
    </row>
    <row r="247" spans="1:6" x14ac:dyDescent="0.2">
      <c r="A247" s="85" t="s">
        <v>255</v>
      </c>
      <c r="B247" s="91" t="s">
        <v>1750</v>
      </c>
      <c r="C247" s="89" t="s">
        <v>1978</v>
      </c>
      <c r="D247" s="85" t="s">
        <v>1982</v>
      </c>
      <c r="E247" s="87"/>
      <c r="F247" s="85" t="s">
        <v>142</v>
      </c>
    </row>
    <row r="248" spans="1:6" x14ac:dyDescent="0.2">
      <c r="A248" s="85" t="s">
        <v>129</v>
      </c>
      <c r="B248" s="91" t="s">
        <v>1750</v>
      </c>
      <c r="C248" s="89" t="s">
        <v>1978</v>
      </c>
      <c r="D248" s="85" t="s">
        <v>126</v>
      </c>
      <c r="E248" s="87"/>
      <c r="F248" s="85" t="s">
        <v>127</v>
      </c>
    </row>
    <row r="249" spans="1:6" x14ac:dyDescent="0.2">
      <c r="A249" s="85" t="s">
        <v>249</v>
      </c>
      <c r="B249" s="91" t="s">
        <v>1750</v>
      </c>
      <c r="C249" s="89" t="s">
        <v>1978</v>
      </c>
      <c r="D249" s="85" t="s">
        <v>1983</v>
      </c>
      <c r="E249" s="87"/>
      <c r="F249" s="85" t="s">
        <v>127</v>
      </c>
    </row>
    <row r="250" spans="1:6" x14ac:dyDescent="0.2">
      <c r="A250" s="85" t="s">
        <v>135</v>
      </c>
      <c r="B250" s="91" t="s">
        <v>1750</v>
      </c>
      <c r="C250" s="89" t="s">
        <v>1978</v>
      </c>
      <c r="D250" s="85" t="s">
        <v>137</v>
      </c>
      <c r="E250" s="87"/>
      <c r="F250" s="85" t="s">
        <v>132</v>
      </c>
    </row>
    <row r="251" spans="1:6" x14ac:dyDescent="0.2">
      <c r="A251" s="85" t="s">
        <v>1984</v>
      </c>
      <c r="B251" s="91" t="s">
        <v>1750</v>
      </c>
      <c r="C251" s="89" t="s">
        <v>1978</v>
      </c>
      <c r="D251" s="85" t="s">
        <v>1985</v>
      </c>
      <c r="E251" s="87"/>
      <c r="F251" s="85" t="s">
        <v>1986</v>
      </c>
    </row>
    <row r="252" spans="1:6" x14ac:dyDescent="0.2">
      <c r="A252" s="85" t="s">
        <v>1987</v>
      </c>
      <c r="B252" s="91" t="s">
        <v>1750</v>
      </c>
      <c r="C252" s="89" t="s">
        <v>1978</v>
      </c>
      <c r="D252" s="85" t="s">
        <v>1988</v>
      </c>
      <c r="E252" s="87"/>
      <c r="F252" s="85" t="s">
        <v>1986</v>
      </c>
    </row>
    <row r="253" spans="1:6" x14ac:dyDescent="0.2">
      <c r="A253" s="85" t="s">
        <v>256</v>
      </c>
      <c r="B253" s="91" t="s">
        <v>1750</v>
      </c>
      <c r="C253" s="89" t="s">
        <v>1978</v>
      </c>
      <c r="D253" s="85" t="s">
        <v>1989</v>
      </c>
      <c r="E253" s="87"/>
      <c r="F253" s="85" t="s">
        <v>142</v>
      </c>
    </row>
    <row r="254" spans="1:6" x14ac:dyDescent="0.2">
      <c r="A254" s="85" t="s">
        <v>257</v>
      </c>
      <c r="B254" s="91" t="s">
        <v>1750</v>
      </c>
      <c r="C254" s="89" t="s">
        <v>1978</v>
      </c>
      <c r="D254" s="85" t="s">
        <v>1990</v>
      </c>
      <c r="E254" s="87"/>
      <c r="F254" s="85" t="s">
        <v>142</v>
      </c>
    </row>
    <row r="255" spans="1:6" x14ac:dyDescent="0.2">
      <c r="A255" s="85" t="s">
        <v>247</v>
      </c>
      <c r="B255" s="91" t="s">
        <v>1750</v>
      </c>
      <c r="C255" s="89" t="s">
        <v>1978</v>
      </c>
      <c r="D255" s="85" t="s">
        <v>1991</v>
      </c>
      <c r="E255" s="87"/>
      <c r="F255" s="85" t="s">
        <v>132</v>
      </c>
    </row>
    <row r="256" spans="1:6" x14ac:dyDescent="0.25">
      <c r="A256" s="88" t="s">
        <v>1992</v>
      </c>
      <c r="B256" s="91" t="s">
        <v>1750</v>
      </c>
      <c r="C256" s="89" t="s">
        <v>1993</v>
      </c>
      <c r="D256" s="89"/>
      <c r="E256" s="89"/>
      <c r="F256" s="89"/>
    </row>
    <row r="257" spans="1:6" x14ac:dyDescent="0.2">
      <c r="A257" s="85" t="s">
        <v>1994</v>
      </c>
      <c r="B257" s="91" t="s">
        <v>1750</v>
      </c>
      <c r="C257" s="89" t="s">
        <v>1993</v>
      </c>
      <c r="D257" s="85" t="s">
        <v>1995</v>
      </c>
      <c r="E257" s="87"/>
      <c r="F257" s="92"/>
    </row>
    <row r="258" spans="1:6" x14ac:dyDescent="0.2">
      <c r="A258" s="85" t="s">
        <v>1996</v>
      </c>
      <c r="B258" s="91" t="s">
        <v>1750</v>
      </c>
      <c r="C258" s="89" t="s">
        <v>1993</v>
      </c>
      <c r="D258" s="85" t="s">
        <v>1997</v>
      </c>
      <c r="E258" s="87"/>
      <c r="F258" s="92"/>
    </row>
    <row r="259" spans="1:6" x14ac:dyDescent="0.2">
      <c r="A259" s="85" t="s">
        <v>1998</v>
      </c>
      <c r="B259" s="91" t="s">
        <v>1750</v>
      </c>
      <c r="C259" s="89" t="s">
        <v>1993</v>
      </c>
      <c r="D259" s="85" t="s">
        <v>1999</v>
      </c>
      <c r="E259" s="87"/>
      <c r="F259" s="92"/>
    </row>
    <row r="260" spans="1:6" x14ac:dyDescent="0.2">
      <c r="A260" s="85" t="s">
        <v>2000</v>
      </c>
      <c r="B260" s="91" t="s">
        <v>1750</v>
      </c>
      <c r="C260" s="89" t="s">
        <v>1993</v>
      </c>
      <c r="D260" s="85" t="s">
        <v>2001</v>
      </c>
      <c r="E260" s="87"/>
      <c r="F260" s="92"/>
    </row>
    <row r="261" spans="1:6" x14ac:dyDescent="0.2">
      <c r="A261" s="85" t="s">
        <v>2002</v>
      </c>
      <c r="B261" s="91" t="s">
        <v>1750</v>
      </c>
      <c r="C261" s="89" t="s">
        <v>1993</v>
      </c>
      <c r="D261" s="85" t="s">
        <v>2003</v>
      </c>
      <c r="E261" s="87"/>
      <c r="F261" s="85" t="s">
        <v>1971</v>
      </c>
    </row>
    <row r="262" spans="1:6" x14ac:dyDescent="0.25">
      <c r="A262" s="88" t="s">
        <v>2004</v>
      </c>
      <c r="B262" s="91" t="s">
        <v>1750</v>
      </c>
      <c r="C262" s="89" t="s">
        <v>2005</v>
      </c>
      <c r="D262" s="89"/>
      <c r="E262" s="89"/>
      <c r="F262" s="100" t="s">
        <v>1622</v>
      </c>
    </row>
    <row r="263" spans="1:6" x14ac:dyDescent="0.2">
      <c r="A263" s="85" t="s">
        <v>2006</v>
      </c>
      <c r="B263" s="91" t="s">
        <v>1750</v>
      </c>
      <c r="C263" s="89" t="s">
        <v>2005</v>
      </c>
      <c r="D263" s="85" t="s">
        <v>2007</v>
      </c>
      <c r="E263" s="87"/>
      <c r="F263" s="85" t="s">
        <v>1622</v>
      </c>
    </row>
    <row r="264" spans="1:6" x14ac:dyDescent="0.2">
      <c r="A264" s="85" t="s">
        <v>2008</v>
      </c>
      <c r="B264" s="91" t="s">
        <v>1750</v>
      </c>
      <c r="C264" s="89" t="s">
        <v>2005</v>
      </c>
      <c r="D264" s="85" t="s">
        <v>2009</v>
      </c>
      <c r="E264" s="87"/>
      <c r="F264" s="85" t="s">
        <v>1622</v>
      </c>
    </row>
    <row r="265" spans="1:6" x14ac:dyDescent="0.25">
      <c r="A265" s="88" t="s">
        <v>2010</v>
      </c>
      <c r="B265" s="91" t="s">
        <v>1750</v>
      </c>
      <c r="C265" s="89" t="s">
        <v>2011</v>
      </c>
      <c r="D265" s="89"/>
      <c r="E265" s="89"/>
      <c r="F265" s="89"/>
    </row>
    <row r="266" spans="1:6" x14ac:dyDescent="0.2">
      <c r="A266" s="85" t="s">
        <v>2012</v>
      </c>
      <c r="B266" s="91" t="s">
        <v>1750</v>
      </c>
      <c r="C266" s="89" t="s">
        <v>2011</v>
      </c>
      <c r="D266" s="85" t="s">
        <v>2013</v>
      </c>
      <c r="E266" s="87"/>
      <c r="F266" s="85" t="s">
        <v>1622</v>
      </c>
    </row>
    <row r="267" spans="1:6" x14ac:dyDescent="0.2">
      <c r="A267" s="85" t="s">
        <v>2014</v>
      </c>
      <c r="B267" s="91" t="s">
        <v>1750</v>
      </c>
      <c r="C267" s="89" t="s">
        <v>2011</v>
      </c>
      <c r="D267" s="85" t="s">
        <v>2015</v>
      </c>
      <c r="E267" s="87"/>
      <c r="F267" s="85" t="s">
        <v>1622</v>
      </c>
    </row>
    <row r="268" spans="1:6" x14ac:dyDescent="0.25">
      <c r="A268" s="88" t="s">
        <v>2016</v>
      </c>
      <c r="B268" s="91" t="s">
        <v>1750</v>
      </c>
      <c r="C268" s="89" t="s">
        <v>2017</v>
      </c>
      <c r="D268" s="89"/>
      <c r="E268" s="89"/>
      <c r="F268" s="89"/>
    </row>
    <row r="269" spans="1:6" x14ac:dyDescent="0.25">
      <c r="A269" s="96" t="s">
        <v>2018</v>
      </c>
      <c r="B269" s="91" t="s">
        <v>1750</v>
      </c>
      <c r="C269" s="89" t="s">
        <v>2017</v>
      </c>
      <c r="D269" s="97" t="s">
        <v>2019</v>
      </c>
      <c r="E269" s="97"/>
      <c r="F269" s="98" t="s">
        <v>1697</v>
      </c>
    </row>
    <row r="270" spans="1:6" x14ac:dyDescent="0.25">
      <c r="A270" s="85" t="s">
        <v>2020</v>
      </c>
      <c r="B270" s="91" t="s">
        <v>1750</v>
      </c>
      <c r="C270" s="89" t="s">
        <v>2017</v>
      </c>
      <c r="D270" s="97" t="s">
        <v>2019</v>
      </c>
      <c r="E270" s="86" t="s">
        <v>2021</v>
      </c>
      <c r="F270" s="85" t="s">
        <v>1697</v>
      </c>
    </row>
    <row r="271" spans="1:6" x14ac:dyDescent="0.25">
      <c r="A271" s="85" t="s">
        <v>2022</v>
      </c>
      <c r="B271" s="91" t="s">
        <v>1750</v>
      </c>
      <c r="C271" s="89" t="s">
        <v>2017</v>
      </c>
      <c r="D271" s="97" t="s">
        <v>2019</v>
      </c>
      <c r="E271" s="86" t="s">
        <v>2023</v>
      </c>
      <c r="F271" s="85" t="s">
        <v>1697</v>
      </c>
    </row>
    <row r="272" spans="1:6" x14ac:dyDescent="0.2">
      <c r="A272" s="85" t="s">
        <v>2024</v>
      </c>
      <c r="B272" s="91" t="s">
        <v>1750</v>
      </c>
      <c r="C272" s="89" t="s">
        <v>2017</v>
      </c>
      <c r="D272" s="85" t="s">
        <v>2025</v>
      </c>
      <c r="E272" s="87"/>
      <c r="F272" s="92"/>
    </row>
    <row r="273" spans="1:6" x14ac:dyDescent="0.2">
      <c r="A273" s="85" t="s">
        <v>2026</v>
      </c>
      <c r="B273" s="91" t="s">
        <v>1750</v>
      </c>
      <c r="C273" s="89" t="s">
        <v>2017</v>
      </c>
      <c r="D273" s="85" t="s">
        <v>2027</v>
      </c>
      <c r="E273" s="87"/>
      <c r="F273" s="85" t="s">
        <v>1622</v>
      </c>
    </row>
    <row r="274" spans="1:6" x14ac:dyDescent="0.2">
      <c r="A274" s="85" t="s">
        <v>2028</v>
      </c>
      <c r="B274" s="91" t="s">
        <v>1750</v>
      </c>
      <c r="C274" s="89" t="s">
        <v>2017</v>
      </c>
      <c r="D274" s="85" t="s">
        <v>2029</v>
      </c>
      <c r="E274" s="87"/>
      <c r="F274" s="85" t="s">
        <v>1622</v>
      </c>
    </row>
    <row r="275" spans="1:6" x14ac:dyDescent="0.2">
      <c r="A275" s="85" t="s">
        <v>2030</v>
      </c>
      <c r="B275" s="91" t="s">
        <v>1750</v>
      </c>
      <c r="C275" s="89" t="s">
        <v>2017</v>
      </c>
      <c r="D275" s="85" t="s">
        <v>2031</v>
      </c>
      <c r="E275" s="87"/>
      <c r="F275" s="85" t="s">
        <v>1622</v>
      </c>
    </row>
    <row r="276" spans="1:6" x14ac:dyDescent="0.2">
      <c r="A276" s="85" t="s">
        <v>2032</v>
      </c>
      <c r="B276" s="91" t="s">
        <v>1750</v>
      </c>
      <c r="C276" s="89" t="s">
        <v>2017</v>
      </c>
      <c r="D276" s="85" t="s">
        <v>2033</v>
      </c>
      <c r="E276" s="87"/>
      <c r="F276" s="85" t="s">
        <v>1622</v>
      </c>
    </row>
    <row r="277" spans="1:6" x14ac:dyDescent="0.2">
      <c r="A277" s="85" t="s">
        <v>2034</v>
      </c>
      <c r="B277" s="91" t="s">
        <v>1750</v>
      </c>
      <c r="C277" s="89" t="s">
        <v>2017</v>
      </c>
      <c r="D277" s="85" t="s">
        <v>2035</v>
      </c>
      <c r="E277" s="87"/>
      <c r="F277" s="85" t="s">
        <v>1622</v>
      </c>
    </row>
    <row r="278" spans="1:6" x14ac:dyDescent="0.2">
      <c r="A278" s="85" t="s">
        <v>2036</v>
      </c>
      <c r="B278" s="91" t="s">
        <v>1750</v>
      </c>
      <c r="C278" s="89" t="s">
        <v>2017</v>
      </c>
      <c r="D278" s="85" t="s">
        <v>2037</v>
      </c>
      <c r="E278" s="87"/>
      <c r="F278" s="85" t="s">
        <v>1622</v>
      </c>
    </row>
    <row r="279" spans="1:6" x14ac:dyDescent="0.2">
      <c r="A279" s="85" t="s">
        <v>2038</v>
      </c>
      <c r="B279" s="91" t="s">
        <v>1750</v>
      </c>
      <c r="C279" s="89" t="s">
        <v>2017</v>
      </c>
      <c r="D279" s="85" t="s">
        <v>2039</v>
      </c>
      <c r="E279" s="87"/>
      <c r="F279" s="85" t="s">
        <v>1622</v>
      </c>
    </row>
    <row r="280" spans="1:6" x14ac:dyDescent="0.2">
      <c r="A280" s="96" t="s">
        <v>2040</v>
      </c>
      <c r="B280" s="91" t="s">
        <v>1750</v>
      </c>
      <c r="C280" s="89" t="s">
        <v>2017</v>
      </c>
      <c r="D280" s="97" t="s">
        <v>2041</v>
      </c>
      <c r="E280" s="97"/>
      <c r="F280" s="101"/>
    </row>
    <row r="281" spans="1:6" x14ac:dyDescent="0.2">
      <c r="A281" s="85" t="s">
        <v>2042</v>
      </c>
      <c r="B281" s="91" t="s">
        <v>1750</v>
      </c>
      <c r="C281" s="89" t="s">
        <v>2017</v>
      </c>
      <c r="D281" s="97" t="s">
        <v>2041</v>
      </c>
      <c r="E281" s="86" t="s">
        <v>2043</v>
      </c>
      <c r="F281" s="92"/>
    </row>
    <row r="282" spans="1:6" x14ac:dyDescent="0.2">
      <c r="A282" s="85" t="s">
        <v>2044</v>
      </c>
      <c r="B282" s="91" t="s">
        <v>1750</v>
      </c>
      <c r="C282" s="89" t="s">
        <v>2017</v>
      </c>
      <c r="D282" s="97" t="s">
        <v>2041</v>
      </c>
      <c r="E282" s="86" t="s">
        <v>2045</v>
      </c>
      <c r="F282" s="92"/>
    </row>
    <row r="283" spans="1:6" x14ac:dyDescent="0.2">
      <c r="A283" s="96" t="s">
        <v>2046</v>
      </c>
      <c r="B283" s="91" t="s">
        <v>1750</v>
      </c>
      <c r="C283" s="89" t="s">
        <v>2017</v>
      </c>
      <c r="D283" s="97" t="s">
        <v>2047</v>
      </c>
      <c r="E283" s="97"/>
      <c r="F283" s="101"/>
    </row>
    <row r="284" spans="1:6" x14ac:dyDescent="0.2">
      <c r="A284" s="85" t="s">
        <v>2048</v>
      </c>
      <c r="B284" s="91" t="s">
        <v>1750</v>
      </c>
      <c r="C284" s="89" t="s">
        <v>2017</v>
      </c>
      <c r="D284" s="97" t="s">
        <v>2047</v>
      </c>
      <c r="E284" s="86" t="s">
        <v>2049</v>
      </c>
      <c r="F284" s="92"/>
    </row>
    <row r="285" spans="1:6" x14ac:dyDescent="0.2">
      <c r="A285" s="85" t="s">
        <v>2050</v>
      </c>
      <c r="B285" s="91" t="s">
        <v>1750</v>
      </c>
      <c r="C285" s="89" t="s">
        <v>2017</v>
      </c>
      <c r="D285" s="97" t="s">
        <v>2047</v>
      </c>
      <c r="E285" s="86" t="s">
        <v>2051</v>
      </c>
      <c r="F285" s="92"/>
    </row>
    <row r="286" spans="1:6" x14ac:dyDescent="0.2">
      <c r="A286" s="85" t="s">
        <v>2052</v>
      </c>
      <c r="B286" s="91" t="s">
        <v>1750</v>
      </c>
      <c r="C286" s="89" t="s">
        <v>2017</v>
      </c>
      <c r="D286" s="85" t="s">
        <v>2053</v>
      </c>
      <c r="E286" s="87"/>
      <c r="F286" s="92"/>
    </row>
    <row r="287" spans="1:6" x14ac:dyDescent="0.2">
      <c r="A287" s="85" t="s">
        <v>2054</v>
      </c>
      <c r="B287" s="91" t="s">
        <v>1750</v>
      </c>
      <c r="C287" s="89" t="s">
        <v>2017</v>
      </c>
      <c r="D287" s="85" t="s">
        <v>2055</v>
      </c>
      <c r="E287" s="87"/>
      <c r="F287" s="92"/>
    </row>
    <row r="288" spans="1:6" x14ac:dyDescent="0.25">
      <c r="A288" s="80" t="s">
        <v>36</v>
      </c>
      <c r="B288" s="91" t="s">
        <v>1750</v>
      </c>
      <c r="C288" s="81" t="s">
        <v>2056</v>
      </c>
      <c r="D288" s="81"/>
      <c r="E288" s="81"/>
      <c r="F288" s="81"/>
    </row>
    <row r="289" spans="1:6" x14ac:dyDescent="0.2">
      <c r="A289" s="85" t="s">
        <v>223</v>
      </c>
      <c r="B289" s="91" t="s">
        <v>1750</v>
      </c>
      <c r="C289" s="81" t="s">
        <v>2056</v>
      </c>
      <c r="D289" s="85" t="s">
        <v>2057</v>
      </c>
      <c r="E289" s="87"/>
      <c r="F289" s="85" t="s">
        <v>66</v>
      </c>
    </row>
    <row r="290" spans="1:6" x14ac:dyDescent="0.2">
      <c r="A290" s="85" t="s">
        <v>224</v>
      </c>
      <c r="B290" s="91" t="s">
        <v>1750</v>
      </c>
      <c r="C290" s="81" t="s">
        <v>2056</v>
      </c>
      <c r="D290" s="85" t="s">
        <v>2058</v>
      </c>
      <c r="E290" s="87"/>
      <c r="F290" s="85" t="s">
        <v>66</v>
      </c>
    </row>
    <row r="291" spans="1:6" x14ac:dyDescent="0.25">
      <c r="A291" s="80" t="s">
        <v>2059</v>
      </c>
      <c r="B291" s="91" t="s">
        <v>1750</v>
      </c>
      <c r="C291" s="81" t="s">
        <v>2060</v>
      </c>
      <c r="D291" s="81"/>
      <c r="E291" s="81"/>
      <c r="F291" s="81"/>
    </row>
    <row r="292" spans="1:6" x14ac:dyDescent="0.2">
      <c r="A292" s="85" t="s">
        <v>2061</v>
      </c>
      <c r="B292" s="91" t="s">
        <v>1750</v>
      </c>
      <c r="C292" s="81" t="s">
        <v>2060</v>
      </c>
      <c r="D292" s="85" t="s">
        <v>2062</v>
      </c>
      <c r="E292" s="87"/>
      <c r="F292" s="85" t="s">
        <v>1622</v>
      </c>
    </row>
    <row r="293" spans="1:6" x14ac:dyDescent="0.2">
      <c r="A293" s="85" t="s">
        <v>2063</v>
      </c>
      <c r="B293" s="91" t="s">
        <v>1750</v>
      </c>
      <c r="C293" s="81" t="s">
        <v>2060</v>
      </c>
      <c r="D293" s="85" t="s">
        <v>2064</v>
      </c>
      <c r="E293" s="87"/>
      <c r="F293" s="85" t="s">
        <v>1622</v>
      </c>
    </row>
    <row r="294" spans="1:6" x14ac:dyDescent="0.2">
      <c r="A294" s="85" t="s">
        <v>2065</v>
      </c>
      <c r="B294" s="91" t="s">
        <v>1750</v>
      </c>
      <c r="C294" s="81" t="s">
        <v>2060</v>
      </c>
      <c r="D294" s="85" t="s">
        <v>2066</v>
      </c>
      <c r="E294" s="87"/>
      <c r="F294" s="85" t="s">
        <v>1622</v>
      </c>
    </row>
    <row r="295" spans="1:6" x14ac:dyDescent="0.2">
      <c r="A295" s="85" t="s">
        <v>2067</v>
      </c>
      <c r="B295" s="91" t="s">
        <v>1750</v>
      </c>
      <c r="C295" s="81" t="s">
        <v>2060</v>
      </c>
      <c r="D295" s="85" t="s">
        <v>2068</v>
      </c>
      <c r="E295" s="87"/>
      <c r="F295" s="85" t="s">
        <v>1622</v>
      </c>
    </row>
    <row r="296" spans="1:6" x14ac:dyDescent="0.2">
      <c r="A296" s="85" t="s">
        <v>2069</v>
      </c>
      <c r="B296" s="91" t="s">
        <v>1750</v>
      </c>
      <c r="C296" s="81" t="s">
        <v>2060</v>
      </c>
      <c r="D296" s="85" t="s">
        <v>2070</v>
      </c>
      <c r="E296" s="87"/>
      <c r="F296" s="85" t="s">
        <v>1622</v>
      </c>
    </row>
    <row r="297" spans="1:6" x14ac:dyDescent="0.2">
      <c r="A297" s="85" t="s">
        <v>2071</v>
      </c>
      <c r="B297" s="91" t="s">
        <v>1750</v>
      </c>
      <c r="C297" s="81" t="s">
        <v>2060</v>
      </c>
      <c r="D297" s="85" t="s">
        <v>2072</v>
      </c>
      <c r="E297" s="87"/>
      <c r="F297" s="85" t="s">
        <v>1622</v>
      </c>
    </row>
    <row r="298" spans="1:6" x14ac:dyDescent="0.2">
      <c r="A298" s="85" t="s">
        <v>2073</v>
      </c>
      <c r="B298" s="91" t="s">
        <v>1750</v>
      </c>
      <c r="C298" s="81" t="s">
        <v>2060</v>
      </c>
      <c r="D298" s="85" t="s">
        <v>2074</v>
      </c>
      <c r="E298" s="87"/>
      <c r="F298" s="85" t="s">
        <v>1622</v>
      </c>
    </row>
    <row r="299" spans="1:6" x14ac:dyDescent="0.2">
      <c r="A299" s="85" t="s">
        <v>2075</v>
      </c>
      <c r="B299" s="91" t="s">
        <v>1750</v>
      </c>
      <c r="C299" s="81" t="s">
        <v>2060</v>
      </c>
      <c r="D299" s="85" t="s">
        <v>2076</v>
      </c>
      <c r="E299" s="87"/>
      <c r="F299" s="85" t="s">
        <v>1688</v>
      </c>
    </row>
    <row r="300" spans="1:6" x14ac:dyDescent="0.25">
      <c r="A300" s="80" t="s">
        <v>2077</v>
      </c>
      <c r="B300" s="91" t="s">
        <v>1750</v>
      </c>
      <c r="C300" s="81" t="s">
        <v>2078</v>
      </c>
      <c r="D300" s="81"/>
      <c r="E300" s="81"/>
      <c r="F300" s="81"/>
    </row>
    <row r="301" spans="1:6" x14ac:dyDescent="0.2">
      <c r="A301" s="85" t="s">
        <v>2079</v>
      </c>
      <c r="B301" s="91" t="s">
        <v>1750</v>
      </c>
      <c r="C301" s="81" t="s">
        <v>2078</v>
      </c>
      <c r="D301" s="85" t="s">
        <v>2080</v>
      </c>
      <c r="E301" s="87"/>
      <c r="F301" s="85" t="s">
        <v>2081</v>
      </c>
    </row>
    <row r="302" spans="1:6" x14ac:dyDescent="0.2">
      <c r="A302" s="80" t="s">
        <v>2082</v>
      </c>
      <c r="B302" s="91" t="s">
        <v>1750</v>
      </c>
      <c r="C302" s="81" t="s">
        <v>2083</v>
      </c>
      <c r="D302" s="81"/>
      <c r="E302" s="81"/>
      <c r="F302" s="103"/>
    </row>
    <row r="303" spans="1:6" x14ac:dyDescent="0.2">
      <c r="A303" s="85" t="s">
        <v>2084</v>
      </c>
      <c r="B303" s="91" t="s">
        <v>1750</v>
      </c>
      <c r="C303" s="81" t="s">
        <v>2083</v>
      </c>
      <c r="D303" s="85" t="s">
        <v>2085</v>
      </c>
      <c r="E303" s="87"/>
      <c r="F303" s="85" t="s">
        <v>2086</v>
      </c>
    </row>
    <row r="304" spans="1:6" x14ac:dyDescent="0.2">
      <c r="A304" s="85" t="s">
        <v>2087</v>
      </c>
      <c r="B304" s="91" t="s">
        <v>1750</v>
      </c>
      <c r="C304" s="81" t="s">
        <v>2083</v>
      </c>
      <c r="D304" s="85" t="s">
        <v>2088</v>
      </c>
      <c r="E304" s="87"/>
      <c r="F304" s="85" t="s">
        <v>2089</v>
      </c>
    </row>
    <row r="305" spans="1:6" x14ac:dyDescent="0.2">
      <c r="A305" s="85" t="s">
        <v>2090</v>
      </c>
      <c r="B305" s="91" t="s">
        <v>1750</v>
      </c>
      <c r="C305" s="81" t="s">
        <v>2083</v>
      </c>
      <c r="D305" s="85" t="s">
        <v>2091</v>
      </c>
      <c r="E305" s="87"/>
      <c r="F305" s="85" t="s">
        <v>2092</v>
      </c>
    </row>
    <row r="306" spans="1:6" x14ac:dyDescent="0.2">
      <c r="A306" s="85" t="s">
        <v>2093</v>
      </c>
      <c r="B306" s="91" t="s">
        <v>1750</v>
      </c>
      <c r="C306" s="81" t="s">
        <v>2083</v>
      </c>
      <c r="D306" s="85" t="s">
        <v>2094</v>
      </c>
      <c r="E306" s="87"/>
      <c r="F306" s="85" t="s">
        <v>2092</v>
      </c>
    </row>
    <row r="307" spans="1:6" x14ac:dyDescent="0.25">
      <c r="A307" s="85" t="s">
        <v>2095</v>
      </c>
      <c r="B307" s="91" t="s">
        <v>1750</v>
      </c>
      <c r="C307" s="81" t="s">
        <v>2083</v>
      </c>
      <c r="D307" s="95" t="s">
        <v>2096</v>
      </c>
      <c r="E307" s="94"/>
      <c r="F307" s="95" t="s">
        <v>2097</v>
      </c>
    </row>
    <row r="308" spans="1:6" x14ac:dyDescent="0.2">
      <c r="A308" s="85" t="s">
        <v>2098</v>
      </c>
      <c r="B308" s="91" t="s">
        <v>1750</v>
      </c>
      <c r="C308" s="81" t="s">
        <v>2083</v>
      </c>
      <c r="D308" s="85" t="s">
        <v>2099</v>
      </c>
      <c r="E308" s="87"/>
      <c r="F308" s="85" t="s">
        <v>2089</v>
      </c>
    </row>
    <row r="309" spans="1:6" x14ac:dyDescent="0.2">
      <c r="A309" s="85" t="s">
        <v>2100</v>
      </c>
      <c r="B309" s="91" t="s">
        <v>1750</v>
      </c>
      <c r="C309" s="81" t="s">
        <v>2083</v>
      </c>
      <c r="D309" s="85" t="s">
        <v>2101</v>
      </c>
      <c r="E309" s="87"/>
      <c r="F309" s="85" t="s">
        <v>2089</v>
      </c>
    </row>
    <row r="310" spans="1:6" x14ac:dyDescent="0.2">
      <c r="A310" s="85" t="s">
        <v>2102</v>
      </c>
      <c r="B310" s="91" t="s">
        <v>1750</v>
      </c>
      <c r="C310" s="81" t="s">
        <v>2083</v>
      </c>
      <c r="D310" s="85" t="s">
        <v>2103</v>
      </c>
      <c r="E310" s="87"/>
      <c r="F310" s="85" t="s">
        <v>2086</v>
      </c>
    </row>
    <row r="311" spans="1:6" x14ac:dyDescent="0.2">
      <c r="A311" s="85" t="s">
        <v>2104</v>
      </c>
      <c r="B311" s="91" t="s">
        <v>1750</v>
      </c>
      <c r="C311" s="81" t="s">
        <v>2083</v>
      </c>
      <c r="D311" s="85" t="s">
        <v>2105</v>
      </c>
      <c r="E311" s="87"/>
      <c r="F311" s="85" t="s">
        <v>2086</v>
      </c>
    </row>
    <row r="312" spans="1:6" x14ac:dyDescent="0.2">
      <c r="A312" s="85" t="s">
        <v>2106</v>
      </c>
      <c r="B312" s="91" t="s">
        <v>1750</v>
      </c>
      <c r="C312" s="81" t="s">
        <v>2083</v>
      </c>
      <c r="D312" s="85" t="s">
        <v>2107</v>
      </c>
      <c r="E312" s="87"/>
      <c r="F312" s="85" t="s">
        <v>2086</v>
      </c>
    </row>
    <row r="313" spans="1:6" x14ac:dyDescent="0.25">
      <c r="A313" s="78" t="s">
        <v>2108</v>
      </c>
      <c r="B313" s="79" t="s">
        <v>2109</v>
      </c>
      <c r="C313" s="79"/>
      <c r="D313" s="79"/>
      <c r="E313" s="79"/>
      <c r="F313" s="79"/>
    </row>
    <row r="314" spans="1:6" x14ac:dyDescent="0.25">
      <c r="A314" s="80" t="s">
        <v>2110</v>
      </c>
      <c r="B314" s="79" t="s">
        <v>2109</v>
      </c>
      <c r="C314" s="81" t="s">
        <v>2111</v>
      </c>
      <c r="D314" s="81"/>
      <c r="E314" s="81"/>
      <c r="F314" s="81"/>
    </row>
    <row r="315" spans="1:6" x14ac:dyDescent="0.2">
      <c r="A315" s="85" t="s">
        <v>244</v>
      </c>
      <c r="B315" s="79" t="s">
        <v>2109</v>
      </c>
      <c r="C315" s="81" t="s">
        <v>2111</v>
      </c>
      <c r="D315" s="85" t="s">
        <v>2112</v>
      </c>
      <c r="E315" s="87"/>
      <c r="F315" s="85" t="s">
        <v>164</v>
      </c>
    </row>
    <row r="316" spans="1:6" x14ac:dyDescent="0.2">
      <c r="A316" s="85" t="s">
        <v>245</v>
      </c>
      <c r="B316" s="79" t="s">
        <v>2109</v>
      </c>
      <c r="C316" s="81" t="s">
        <v>2111</v>
      </c>
      <c r="D316" s="85" t="s">
        <v>2113</v>
      </c>
      <c r="E316" s="87"/>
      <c r="F316" s="85" t="s">
        <v>164</v>
      </c>
    </row>
    <row r="317" spans="1:6" x14ac:dyDescent="0.25">
      <c r="A317" s="78" t="s">
        <v>2114</v>
      </c>
      <c r="B317" s="79" t="s">
        <v>2115</v>
      </c>
      <c r="C317" s="79"/>
      <c r="D317" s="79"/>
      <c r="E317" s="79"/>
      <c r="F317" s="79"/>
    </row>
    <row r="318" spans="1:6" x14ac:dyDescent="0.25">
      <c r="A318" s="80" t="s">
        <v>2116</v>
      </c>
      <c r="B318" s="79" t="s">
        <v>2115</v>
      </c>
      <c r="C318" s="81" t="s">
        <v>2117</v>
      </c>
      <c r="D318" s="81"/>
      <c r="E318" s="81"/>
      <c r="F318" s="104" t="s">
        <v>2118</v>
      </c>
    </row>
    <row r="319" spans="1:6" x14ac:dyDescent="0.25">
      <c r="A319" s="82" t="s">
        <v>2119</v>
      </c>
      <c r="B319" s="79" t="s">
        <v>2115</v>
      </c>
      <c r="C319" s="81" t="s">
        <v>2117</v>
      </c>
      <c r="D319" s="83" t="s">
        <v>2120</v>
      </c>
      <c r="E319" s="83"/>
      <c r="F319" s="84" t="s">
        <v>2118</v>
      </c>
    </row>
    <row r="320" spans="1:6" x14ac:dyDescent="0.25">
      <c r="A320" s="85" t="s">
        <v>2121</v>
      </c>
      <c r="B320" s="79" t="s">
        <v>2115</v>
      </c>
      <c r="C320" s="81" t="s">
        <v>2117</v>
      </c>
      <c r="D320" s="83" t="s">
        <v>2120</v>
      </c>
      <c r="E320" s="86" t="s">
        <v>2122</v>
      </c>
      <c r="F320" s="85" t="s">
        <v>2118</v>
      </c>
    </row>
    <row r="321" spans="1:6" x14ac:dyDescent="0.25">
      <c r="A321" s="85" t="s">
        <v>2123</v>
      </c>
      <c r="B321" s="79" t="s">
        <v>2115</v>
      </c>
      <c r="C321" s="81" t="s">
        <v>2117</v>
      </c>
      <c r="D321" s="83" t="s">
        <v>2120</v>
      </c>
      <c r="E321" s="86" t="s">
        <v>2124</v>
      </c>
      <c r="F321" s="85" t="s">
        <v>2118</v>
      </c>
    </row>
    <row r="322" spans="1:6" x14ac:dyDescent="0.25">
      <c r="A322" s="85" t="s">
        <v>2125</v>
      </c>
      <c r="B322" s="79" t="s">
        <v>2115</v>
      </c>
      <c r="C322" s="81" t="s">
        <v>2117</v>
      </c>
      <c r="D322" s="83" t="s">
        <v>2120</v>
      </c>
      <c r="E322" s="86" t="s">
        <v>2126</v>
      </c>
      <c r="F322" s="85" t="s">
        <v>2118</v>
      </c>
    </row>
    <row r="323" spans="1:6" x14ac:dyDescent="0.25">
      <c r="A323" s="85" t="s">
        <v>2127</v>
      </c>
      <c r="B323" s="79" t="s">
        <v>2115</v>
      </c>
      <c r="C323" s="81" t="s">
        <v>2117</v>
      </c>
      <c r="D323" s="83" t="s">
        <v>2120</v>
      </c>
      <c r="E323" s="86" t="s">
        <v>2128</v>
      </c>
      <c r="F323" s="85" t="s">
        <v>2118</v>
      </c>
    </row>
    <row r="324" spans="1:6" x14ac:dyDescent="0.25">
      <c r="A324" s="85" t="s">
        <v>2129</v>
      </c>
      <c r="B324" s="79" t="s">
        <v>2115</v>
      </c>
      <c r="C324" s="81" t="s">
        <v>2117</v>
      </c>
      <c r="D324" s="83" t="s">
        <v>2120</v>
      </c>
      <c r="E324" s="86" t="s">
        <v>2130</v>
      </c>
      <c r="F324" s="85" t="s">
        <v>2118</v>
      </c>
    </row>
    <row r="325" spans="1:6" x14ac:dyDescent="0.25">
      <c r="A325" s="85" t="s">
        <v>2131</v>
      </c>
      <c r="B325" s="79" t="s">
        <v>2115</v>
      </c>
      <c r="C325" s="81" t="s">
        <v>2117</v>
      </c>
      <c r="D325" s="83" t="s">
        <v>2120</v>
      </c>
      <c r="E325" s="86" t="s">
        <v>2132</v>
      </c>
      <c r="F325" s="85" t="s">
        <v>2118</v>
      </c>
    </row>
    <row r="326" spans="1:6" x14ac:dyDescent="0.25">
      <c r="A326" s="96" t="s">
        <v>2133</v>
      </c>
      <c r="B326" s="79" t="s">
        <v>2115</v>
      </c>
      <c r="C326" s="81" t="s">
        <v>2117</v>
      </c>
      <c r="D326" s="97" t="s">
        <v>2134</v>
      </c>
      <c r="E326" s="97"/>
      <c r="F326" s="98" t="s">
        <v>2118</v>
      </c>
    </row>
    <row r="327" spans="1:6" x14ac:dyDescent="0.25">
      <c r="A327" s="85" t="s">
        <v>2135</v>
      </c>
      <c r="B327" s="79" t="s">
        <v>2115</v>
      </c>
      <c r="C327" s="81" t="s">
        <v>2117</v>
      </c>
      <c r="D327" s="97" t="s">
        <v>2134</v>
      </c>
      <c r="E327" s="86" t="s">
        <v>2136</v>
      </c>
      <c r="F327" s="85" t="s">
        <v>2118</v>
      </c>
    </row>
    <row r="328" spans="1:6" x14ac:dyDescent="0.25">
      <c r="A328" s="85" t="s">
        <v>2137</v>
      </c>
      <c r="B328" s="79" t="s">
        <v>2115</v>
      </c>
      <c r="C328" s="81" t="s">
        <v>2117</v>
      </c>
      <c r="D328" s="97" t="s">
        <v>2134</v>
      </c>
      <c r="E328" s="86" t="s">
        <v>2138</v>
      </c>
      <c r="F328" s="85" t="s">
        <v>2118</v>
      </c>
    </row>
    <row r="329" spans="1:6" x14ac:dyDescent="0.25">
      <c r="A329" s="85" t="s">
        <v>2139</v>
      </c>
      <c r="B329" s="79" t="s">
        <v>2115</v>
      </c>
      <c r="C329" s="81" t="s">
        <v>2117</v>
      </c>
      <c r="D329" s="97" t="s">
        <v>2134</v>
      </c>
      <c r="E329" s="86" t="s">
        <v>2140</v>
      </c>
      <c r="F329" s="85" t="s">
        <v>2118</v>
      </c>
    </row>
    <row r="330" spans="1:6" x14ac:dyDescent="0.25">
      <c r="A330" s="88" t="s">
        <v>2141</v>
      </c>
      <c r="B330" s="79" t="s">
        <v>2115</v>
      </c>
      <c r="C330" s="89" t="s">
        <v>2142</v>
      </c>
      <c r="D330" s="89"/>
      <c r="E330" s="89"/>
      <c r="F330" s="89"/>
    </row>
    <row r="331" spans="1:6" x14ac:dyDescent="0.25">
      <c r="A331" s="96" t="s">
        <v>2143</v>
      </c>
      <c r="B331" s="79" t="s">
        <v>2115</v>
      </c>
      <c r="C331" s="89" t="s">
        <v>2142</v>
      </c>
      <c r="D331" s="97" t="s">
        <v>2144</v>
      </c>
      <c r="E331" s="97"/>
      <c r="F331" s="98" t="s">
        <v>1772</v>
      </c>
    </row>
    <row r="332" spans="1:6" x14ac:dyDescent="0.25">
      <c r="A332" s="85" t="s">
        <v>2145</v>
      </c>
      <c r="B332" s="79" t="s">
        <v>2115</v>
      </c>
      <c r="C332" s="89" t="s">
        <v>2142</v>
      </c>
      <c r="D332" s="97" t="s">
        <v>2144</v>
      </c>
      <c r="E332" s="86" t="s">
        <v>2144</v>
      </c>
      <c r="F332" s="85" t="s">
        <v>1772</v>
      </c>
    </row>
    <row r="333" spans="1:6" x14ac:dyDescent="0.25">
      <c r="A333" s="85" t="s">
        <v>2146</v>
      </c>
      <c r="B333" s="79" t="s">
        <v>2115</v>
      </c>
      <c r="C333" s="89" t="s">
        <v>2142</v>
      </c>
      <c r="D333" s="97" t="s">
        <v>2144</v>
      </c>
      <c r="E333" s="86" t="s">
        <v>2147</v>
      </c>
      <c r="F333" s="85" t="s">
        <v>1772</v>
      </c>
    </row>
    <row r="334" spans="1:6" x14ac:dyDescent="0.25">
      <c r="A334" s="96" t="s">
        <v>2148</v>
      </c>
      <c r="B334" s="79" t="s">
        <v>2115</v>
      </c>
      <c r="C334" s="89" t="s">
        <v>2142</v>
      </c>
      <c r="D334" s="97" t="s">
        <v>2149</v>
      </c>
      <c r="E334" s="97"/>
      <c r="F334" s="98" t="s">
        <v>2150</v>
      </c>
    </row>
    <row r="335" spans="1:6" x14ac:dyDescent="0.25">
      <c r="A335" s="85" t="s">
        <v>2151</v>
      </c>
      <c r="B335" s="79" t="s">
        <v>2115</v>
      </c>
      <c r="C335" s="89" t="s">
        <v>2142</v>
      </c>
      <c r="D335" s="97" t="s">
        <v>2149</v>
      </c>
      <c r="E335" s="86" t="s">
        <v>2152</v>
      </c>
      <c r="F335" s="85" t="s">
        <v>2150</v>
      </c>
    </row>
    <row r="336" spans="1:6" x14ac:dyDescent="0.25">
      <c r="A336" s="85" t="s">
        <v>2153</v>
      </c>
      <c r="B336" s="79" t="s">
        <v>2115</v>
      </c>
      <c r="C336" s="89" t="s">
        <v>2142</v>
      </c>
      <c r="D336" s="97" t="s">
        <v>2149</v>
      </c>
      <c r="E336" s="86" t="s">
        <v>2154</v>
      </c>
      <c r="F336" s="85" t="s">
        <v>2150</v>
      </c>
    </row>
    <row r="337" spans="1:6" x14ac:dyDescent="0.25">
      <c r="A337" s="85" t="s">
        <v>2155</v>
      </c>
      <c r="B337" s="79" t="s">
        <v>2115</v>
      </c>
      <c r="C337" s="89" t="s">
        <v>2142</v>
      </c>
      <c r="D337" s="97" t="s">
        <v>2149</v>
      </c>
      <c r="E337" s="86" t="s">
        <v>2156</v>
      </c>
      <c r="F337" s="85" t="s">
        <v>2150</v>
      </c>
    </row>
    <row r="338" spans="1:6" x14ac:dyDescent="0.25">
      <c r="A338" s="85" t="s">
        <v>2157</v>
      </c>
      <c r="B338" s="79" t="s">
        <v>2115</v>
      </c>
      <c r="C338" s="89" t="s">
        <v>2142</v>
      </c>
      <c r="D338" s="97" t="s">
        <v>2149</v>
      </c>
      <c r="E338" s="86" t="s">
        <v>2158</v>
      </c>
      <c r="F338" s="85" t="s">
        <v>2150</v>
      </c>
    </row>
    <row r="339" spans="1:6" x14ac:dyDescent="0.25">
      <c r="A339" s="85" t="s">
        <v>2159</v>
      </c>
      <c r="B339" s="79" t="s">
        <v>2115</v>
      </c>
      <c r="C339" s="89" t="s">
        <v>2142</v>
      </c>
      <c r="D339" s="97" t="s">
        <v>2149</v>
      </c>
      <c r="E339" s="86" t="s">
        <v>2160</v>
      </c>
      <c r="F339" s="85" t="s">
        <v>2150</v>
      </c>
    </row>
    <row r="340" spans="1:6" x14ac:dyDescent="0.25">
      <c r="A340" s="85" t="s">
        <v>2161</v>
      </c>
      <c r="B340" s="79" t="s">
        <v>2115</v>
      </c>
      <c r="C340" s="89" t="s">
        <v>2142</v>
      </c>
      <c r="D340" s="97" t="s">
        <v>2149</v>
      </c>
      <c r="E340" s="86" t="s">
        <v>2162</v>
      </c>
      <c r="F340" s="85" t="s">
        <v>2150</v>
      </c>
    </row>
    <row r="341" spans="1:6" x14ac:dyDescent="0.25">
      <c r="A341" s="85" t="s">
        <v>2163</v>
      </c>
      <c r="B341" s="79" t="s">
        <v>2115</v>
      </c>
      <c r="C341" s="89" t="s">
        <v>2142</v>
      </c>
      <c r="D341" s="97" t="s">
        <v>2149</v>
      </c>
      <c r="E341" s="86" t="s">
        <v>633</v>
      </c>
      <c r="F341" s="85" t="s">
        <v>2150</v>
      </c>
    </row>
    <row r="342" spans="1:6" x14ac:dyDescent="0.25">
      <c r="A342" s="85" t="s">
        <v>2164</v>
      </c>
      <c r="B342" s="79" t="s">
        <v>2115</v>
      </c>
      <c r="C342" s="89" t="s">
        <v>2142</v>
      </c>
      <c r="D342" s="97" t="s">
        <v>2149</v>
      </c>
      <c r="E342" s="86" t="s">
        <v>2165</v>
      </c>
      <c r="F342" s="85" t="s">
        <v>2150</v>
      </c>
    </row>
    <row r="343" spans="1:6" x14ac:dyDescent="0.25">
      <c r="A343" s="85" t="s">
        <v>2166</v>
      </c>
      <c r="B343" s="79" t="s">
        <v>2115</v>
      </c>
      <c r="C343" s="89" t="s">
        <v>2142</v>
      </c>
      <c r="D343" s="97" t="s">
        <v>2149</v>
      </c>
      <c r="E343" s="86" t="s">
        <v>2167</v>
      </c>
      <c r="F343" s="85" t="s">
        <v>2168</v>
      </c>
    </row>
    <row r="344" spans="1:6" x14ac:dyDescent="0.25">
      <c r="A344" s="85" t="s">
        <v>2169</v>
      </c>
      <c r="B344" s="79" t="s">
        <v>2115</v>
      </c>
      <c r="C344" s="89" t="s">
        <v>2142</v>
      </c>
      <c r="D344" s="97" t="s">
        <v>2149</v>
      </c>
      <c r="E344" s="86" t="s">
        <v>2170</v>
      </c>
      <c r="F344" s="85" t="s">
        <v>2150</v>
      </c>
    </row>
    <row r="345" spans="1:6" x14ac:dyDescent="0.25">
      <c r="A345" s="85" t="s">
        <v>2171</v>
      </c>
      <c r="B345" s="79" t="s">
        <v>2115</v>
      </c>
      <c r="C345" s="89" t="s">
        <v>2142</v>
      </c>
      <c r="D345" s="97" t="s">
        <v>2149</v>
      </c>
      <c r="E345" s="86" t="s">
        <v>2172</v>
      </c>
      <c r="F345" s="85" t="s">
        <v>2150</v>
      </c>
    </row>
    <row r="346" spans="1:6" x14ac:dyDescent="0.25">
      <c r="A346" s="85" t="s">
        <v>2173</v>
      </c>
      <c r="B346" s="79" t="s">
        <v>2115</v>
      </c>
      <c r="C346" s="89" t="s">
        <v>2142</v>
      </c>
      <c r="D346" s="97" t="s">
        <v>2149</v>
      </c>
      <c r="E346" s="86" t="s">
        <v>2174</v>
      </c>
      <c r="F346" s="85" t="s">
        <v>2150</v>
      </c>
    </row>
    <row r="347" spans="1:6" x14ac:dyDescent="0.2">
      <c r="A347" s="85" t="s">
        <v>2175</v>
      </c>
      <c r="B347" s="79" t="s">
        <v>2115</v>
      </c>
      <c r="C347" s="89" t="s">
        <v>2142</v>
      </c>
      <c r="D347" s="85" t="s">
        <v>2176</v>
      </c>
      <c r="E347" s="87"/>
      <c r="F347" s="85" t="s">
        <v>2150</v>
      </c>
    </row>
    <row r="348" spans="1:6" x14ac:dyDescent="0.25">
      <c r="A348" s="96" t="s">
        <v>2177</v>
      </c>
      <c r="B348" s="79" t="s">
        <v>2115</v>
      </c>
      <c r="C348" s="89" t="s">
        <v>2142</v>
      </c>
      <c r="D348" s="97" t="s">
        <v>2178</v>
      </c>
      <c r="E348" s="97"/>
      <c r="F348" s="98" t="s">
        <v>2179</v>
      </c>
    </row>
    <row r="349" spans="1:6" x14ac:dyDescent="0.25">
      <c r="A349" s="85" t="s">
        <v>2180</v>
      </c>
      <c r="B349" s="79" t="s">
        <v>2115</v>
      </c>
      <c r="C349" s="89" t="s">
        <v>2142</v>
      </c>
      <c r="D349" s="97" t="s">
        <v>2178</v>
      </c>
      <c r="E349" s="86" t="s">
        <v>2181</v>
      </c>
      <c r="F349" s="85" t="s">
        <v>2179</v>
      </c>
    </row>
    <row r="350" spans="1:6" x14ac:dyDescent="0.25">
      <c r="A350" s="85" t="s">
        <v>2182</v>
      </c>
      <c r="B350" s="79" t="s">
        <v>2115</v>
      </c>
      <c r="C350" s="89" t="s">
        <v>2142</v>
      </c>
      <c r="D350" s="97" t="s">
        <v>2178</v>
      </c>
      <c r="E350" s="86" t="s">
        <v>2183</v>
      </c>
      <c r="F350" s="85" t="s">
        <v>2179</v>
      </c>
    </row>
    <row r="351" spans="1:6" x14ac:dyDescent="0.25">
      <c r="A351" s="85" t="s">
        <v>2184</v>
      </c>
      <c r="B351" s="79" t="s">
        <v>2115</v>
      </c>
      <c r="C351" s="89" t="s">
        <v>2142</v>
      </c>
      <c r="D351" s="97" t="s">
        <v>2178</v>
      </c>
      <c r="E351" s="86" t="s">
        <v>2185</v>
      </c>
      <c r="F351" s="85" t="s">
        <v>2179</v>
      </c>
    </row>
    <row r="352" spans="1:6" x14ac:dyDescent="0.25">
      <c r="A352" s="85" t="s">
        <v>2186</v>
      </c>
      <c r="B352" s="79" t="s">
        <v>2115</v>
      </c>
      <c r="C352" s="89" t="s">
        <v>2142</v>
      </c>
      <c r="D352" s="97" t="s">
        <v>2178</v>
      </c>
      <c r="E352" s="86" t="s">
        <v>2187</v>
      </c>
      <c r="F352" s="85" t="s">
        <v>2179</v>
      </c>
    </row>
    <row r="353" spans="1:6" x14ac:dyDescent="0.25">
      <c r="A353" s="85" t="s">
        <v>2188</v>
      </c>
      <c r="B353" s="79" t="s">
        <v>2115</v>
      </c>
      <c r="C353" s="89" t="s">
        <v>2142</v>
      </c>
      <c r="D353" s="97" t="s">
        <v>2178</v>
      </c>
      <c r="E353" s="86" t="s">
        <v>2189</v>
      </c>
      <c r="F353" s="85" t="s">
        <v>2179</v>
      </c>
    </row>
    <row r="354" spans="1:6" x14ac:dyDescent="0.25">
      <c r="A354" s="85" t="s">
        <v>2190</v>
      </c>
      <c r="B354" s="79" t="s">
        <v>2115</v>
      </c>
      <c r="C354" s="89" t="s">
        <v>2142</v>
      </c>
      <c r="D354" s="97" t="s">
        <v>2178</v>
      </c>
      <c r="E354" s="86" t="s">
        <v>2191</v>
      </c>
      <c r="F354" s="85" t="s">
        <v>2179</v>
      </c>
    </row>
    <row r="355" spans="1:6" x14ac:dyDescent="0.25">
      <c r="A355" s="85" t="s">
        <v>2192</v>
      </c>
      <c r="B355" s="79" t="s">
        <v>2115</v>
      </c>
      <c r="C355" s="89" t="s">
        <v>2142</v>
      </c>
      <c r="D355" s="97" t="s">
        <v>2178</v>
      </c>
      <c r="E355" s="86" t="s">
        <v>2193</v>
      </c>
      <c r="F355" s="85" t="s">
        <v>2179</v>
      </c>
    </row>
    <row r="356" spans="1:6" x14ac:dyDescent="0.25">
      <c r="A356" s="85" t="s">
        <v>2194</v>
      </c>
      <c r="B356" s="79" t="s">
        <v>2115</v>
      </c>
      <c r="C356" s="89" t="s">
        <v>2142</v>
      </c>
      <c r="D356" s="97" t="s">
        <v>2178</v>
      </c>
      <c r="E356" s="86" t="s">
        <v>2195</v>
      </c>
      <c r="F356" s="85" t="s">
        <v>2179</v>
      </c>
    </row>
    <row r="357" spans="1:6" x14ac:dyDescent="0.25">
      <c r="A357" s="85" t="s">
        <v>2196</v>
      </c>
      <c r="B357" s="79" t="s">
        <v>2115</v>
      </c>
      <c r="C357" s="89" t="s">
        <v>2142</v>
      </c>
      <c r="D357" s="97" t="s">
        <v>2178</v>
      </c>
      <c r="E357" s="86" t="s">
        <v>2197</v>
      </c>
      <c r="F357" s="85" t="s">
        <v>2179</v>
      </c>
    </row>
    <row r="358" spans="1:6" x14ac:dyDescent="0.25">
      <c r="A358" s="85" t="s">
        <v>2198</v>
      </c>
      <c r="B358" s="79" t="s">
        <v>2115</v>
      </c>
      <c r="C358" s="89" t="s">
        <v>2142</v>
      </c>
      <c r="D358" s="97" t="s">
        <v>2178</v>
      </c>
      <c r="E358" s="86" t="s">
        <v>2199</v>
      </c>
      <c r="F358" s="85" t="s">
        <v>2179</v>
      </c>
    </row>
    <row r="359" spans="1:6" x14ac:dyDescent="0.25">
      <c r="A359" s="85" t="s">
        <v>2200</v>
      </c>
      <c r="B359" s="79" t="s">
        <v>2115</v>
      </c>
      <c r="C359" s="89" t="s">
        <v>2142</v>
      </c>
      <c r="D359" s="97" t="s">
        <v>2178</v>
      </c>
      <c r="E359" s="86" t="s">
        <v>2201</v>
      </c>
      <c r="F359" s="85" t="s">
        <v>2179</v>
      </c>
    </row>
    <row r="360" spans="1:6" x14ac:dyDescent="0.25">
      <c r="A360" s="85" t="s">
        <v>2202</v>
      </c>
      <c r="B360" s="79" t="s">
        <v>2115</v>
      </c>
      <c r="C360" s="89" t="s">
        <v>2142</v>
      </c>
      <c r="D360" s="97" t="s">
        <v>2178</v>
      </c>
      <c r="E360" s="86" t="s">
        <v>2203</v>
      </c>
      <c r="F360" s="85" t="s">
        <v>2179</v>
      </c>
    </row>
    <row r="361" spans="1:6" x14ac:dyDescent="0.25">
      <c r="A361" s="85" t="s">
        <v>2204</v>
      </c>
      <c r="B361" s="79" t="s">
        <v>2115</v>
      </c>
      <c r="C361" s="89" t="s">
        <v>2142</v>
      </c>
      <c r="D361" s="97" t="s">
        <v>2178</v>
      </c>
      <c r="E361" s="86" t="s">
        <v>2205</v>
      </c>
      <c r="F361" s="85" t="s">
        <v>2179</v>
      </c>
    </row>
    <row r="362" spans="1:6" x14ac:dyDescent="0.25">
      <c r="A362" s="85" t="s">
        <v>2206</v>
      </c>
      <c r="B362" s="79" t="s">
        <v>2115</v>
      </c>
      <c r="C362" s="89" t="s">
        <v>2142</v>
      </c>
      <c r="D362" s="97" t="s">
        <v>2178</v>
      </c>
      <c r="E362" s="86" t="s">
        <v>2207</v>
      </c>
      <c r="F362" s="85" t="s">
        <v>2208</v>
      </c>
    </row>
    <row r="363" spans="1:6" x14ac:dyDescent="0.25">
      <c r="A363" s="85" t="s">
        <v>2209</v>
      </c>
      <c r="B363" s="79" t="s">
        <v>2115</v>
      </c>
      <c r="C363" s="89" t="s">
        <v>2142</v>
      </c>
      <c r="D363" s="97" t="s">
        <v>2178</v>
      </c>
      <c r="E363" s="86" t="s">
        <v>2210</v>
      </c>
      <c r="F363" s="85" t="s">
        <v>2179</v>
      </c>
    </row>
    <row r="364" spans="1:6" x14ac:dyDescent="0.25">
      <c r="A364" s="85" t="s">
        <v>2211</v>
      </c>
      <c r="B364" s="79" t="s">
        <v>2115</v>
      </c>
      <c r="C364" s="89" t="s">
        <v>2142</v>
      </c>
      <c r="D364" s="97" t="s">
        <v>2178</v>
      </c>
      <c r="E364" s="86" t="s">
        <v>2212</v>
      </c>
      <c r="F364" s="85" t="s">
        <v>2179</v>
      </c>
    </row>
    <row r="365" spans="1:6" x14ac:dyDescent="0.2">
      <c r="A365" s="96" t="s">
        <v>2213</v>
      </c>
      <c r="B365" s="79" t="s">
        <v>2115</v>
      </c>
      <c r="C365" s="89" t="s">
        <v>2142</v>
      </c>
      <c r="D365" s="97" t="s">
        <v>2214</v>
      </c>
      <c r="E365" s="97"/>
      <c r="F365" s="101"/>
    </row>
    <row r="366" spans="1:6" x14ac:dyDescent="0.25">
      <c r="A366" s="85" t="s">
        <v>2215</v>
      </c>
      <c r="B366" s="79" t="s">
        <v>2115</v>
      </c>
      <c r="C366" s="89" t="s">
        <v>2142</v>
      </c>
      <c r="D366" s="97" t="s">
        <v>2214</v>
      </c>
      <c r="E366" s="86" t="s">
        <v>2216</v>
      </c>
      <c r="F366" s="85" t="s">
        <v>2217</v>
      </c>
    </row>
    <row r="367" spans="1:6" x14ac:dyDescent="0.25">
      <c r="A367" s="85" t="s">
        <v>2218</v>
      </c>
      <c r="B367" s="79" t="s">
        <v>2115</v>
      </c>
      <c r="C367" s="89" t="s">
        <v>2142</v>
      </c>
      <c r="D367" s="97" t="s">
        <v>2214</v>
      </c>
      <c r="E367" s="86" t="s">
        <v>2219</v>
      </c>
      <c r="F367" s="85" t="s">
        <v>1772</v>
      </c>
    </row>
    <row r="368" spans="1:6" x14ac:dyDescent="0.25">
      <c r="A368" s="85" t="s">
        <v>2220</v>
      </c>
      <c r="B368" s="79" t="s">
        <v>2115</v>
      </c>
      <c r="C368" s="89" t="s">
        <v>2142</v>
      </c>
      <c r="D368" s="97" t="s">
        <v>2214</v>
      </c>
      <c r="E368" s="86" t="s">
        <v>2221</v>
      </c>
      <c r="F368" s="85" t="s">
        <v>2217</v>
      </c>
    </row>
    <row r="369" spans="1:6" x14ac:dyDescent="0.25">
      <c r="A369" s="85" t="s">
        <v>2222</v>
      </c>
      <c r="B369" s="79" t="s">
        <v>2115</v>
      </c>
      <c r="C369" s="89" t="s">
        <v>2142</v>
      </c>
      <c r="D369" s="97" t="s">
        <v>2214</v>
      </c>
      <c r="E369" s="86" t="s">
        <v>2223</v>
      </c>
      <c r="F369" s="85" t="s">
        <v>2168</v>
      </c>
    </row>
    <row r="370" spans="1:6" x14ac:dyDescent="0.25">
      <c r="A370" s="85" t="s">
        <v>2224</v>
      </c>
      <c r="B370" s="79" t="s">
        <v>2115</v>
      </c>
      <c r="C370" s="89" t="s">
        <v>2142</v>
      </c>
      <c r="D370" s="97" t="s">
        <v>2214</v>
      </c>
      <c r="E370" s="86" t="s">
        <v>2225</v>
      </c>
      <c r="F370" s="85" t="s">
        <v>2168</v>
      </c>
    </row>
    <row r="371" spans="1:6" x14ac:dyDescent="0.2">
      <c r="A371" s="85" t="s">
        <v>2226</v>
      </c>
      <c r="B371" s="79" t="s">
        <v>2115</v>
      </c>
      <c r="C371" s="89" t="s">
        <v>2142</v>
      </c>
      <c r="D371" s="85" t="s">
        <v>2227</v>
      </c>
      <c r="E371" s="87"/>
      <c r="F371" s="85" t="s">
        <v>1622</v>
      </c>
    </row>
    <row r="372" spans="1:6" x14ac:dyDescent="0.2">
      <c r="A372" s="85" t="s">
        <v>2228</v>
      </c>
      <c r="B372" s="79" t="s">
        <v>2115</v>
      </c>
      <c r="C372" s="89" t="s">
        <v>2142</v>
      </c>
      <c r="D372" s="85" t="s">
        <v>2229</v>
      </c>
      <c r="E372" s="87"/>
      <c r="F372" s="92"/>
    </row>
    <row r="373" spans="1:6" x14ac:dyDescent="0.2">
      <c r="A373" s="85" t="s">
        <v>2230</v>
      </c>
      <c r="B373" s="79" t="s">
        <v>2115</v>
      </c>
      <c r="C373" s="89" t="s">
        <v>2142</v>
      </c>
      <c r="D373" s="85" t="s">
        <v>2231</v>
      </c>
      <c r="E373" s="87"/>
      <c r="F373" s="92"/>
    </row>
    <row r="374" spans="1:6" x14ac:dyDescent="0.2">
      <c r="A374" s="85" t="s">
        <v>2232</v>
      </c>
      <c r="B374" s="79" t="s">
        <v>2115</v>
      </c>
      <c r="C374" s="89" t="s">
        <v>2142</v>
      </c>
      <c r="D374" s="85" t="s">
        <v>2233</v>
      </c>
      <c r="E374" s="87"/>
      <c r="F374" s="92"/>
    </row>
    <row r="375" spans="1:6" x14ac:dyDescent="0.2">
      <c r="A375" s="96" t="s">
        <v>2234</v>
      </c>
      <c r="B375" s="79" t="s">
        <v>2115</v>
      </c>
      <c r="C375" s="89" t="s">
        <v>2142</v>
      </c>
      <c r="D375" s="97" t="s">
        <v>2235</v>
      </c>
      <c r="E375" s="97"/>
      <c r="F375" s="101"/>
    </row>
    <row r="376" spans="1:6" x14ac:dyDescent="0.25">
      <c r="A376" s="85" t="s">
        <v>2236</v>
      </c>
      <c r="B376" s="79" t="s">
        <v>2115</v>
      </c>
      <c r="C376" s="89" t="s">
        <v>2142</v>
      </c>
      <c r="D376" s="97" t="s">
        <v>2235</v>
      </c>
      <c r="E376" s="86" t="s">
        <v>2237</v>
      </c>
      <c r="F376" s="85" t="s">
        <v>2238</v>
      </c>
    </row>
    <row r="377" spans="1:6" x14ac:dyDescent="0.2">
      <c r="A377" s="85" t="s">
        <v>2239</v>
      </c>
      <c r="B377" s="79" t="s">
        <v>2115</v>
      </c>
      <c r="C377" s="89" t="s">
        <v>2142</v>
      </c>
      <c r="D377" s="85" t="s">
        <v>2240</v>
      </c>
      <c r="E377" s="87"/>
      <c r="F377" s="92"/>
    </row>
    <row r="378" spans="1:6" x14ac:dyDescent="0.2">
      <c r="A378" s="85" t="s">
        <v>2241</v>
      </c>
      <c r="B378" s="79" t="s">
        <v>2115</v>
      </c>
      <c r="C378" s="89" t="s">
        <v>2142</v>
      </c>
      <c r="D378" s="85" t="s">
        <v>2242</v>
      </c>
      <c r="E378" s="87"/>
      <c r="F378" s="85" t="s">
        <v>1772</v>
      </c>
    </row>
    <row r="379" spans="1:6" x14ac:dyDescent="0.25">
      <c r="A379" s="88" t="s">
        <v>2243</v>
      </c>
      <c r="B379" s="79" t="s">
        <v>2115</v>
      </c>
      <c r="C379" s="89" t="s">
        <v>2244</v>
      </c>
      <c r="D379" s="89"/>
      <c r="E379" s="89"/>
      <c r="F379" s="89"/>
    </row>
    <row r="380" spans="1:6" x14ac:dyDescent="0.25">
      <c r="A380" s="96" t="s">
        <v>2245</v>
      </c>
      <c r="B380" s="79" t="s">
        <v>2115</v>
      </c>
      <c r="C380" s="89" t="s">
        <v>2244</v>
      </c>
      <c r="D380" s="97" t="s">
        <v>2246</v>
      </c>
      <c r="E380" s="97"/>
      <c r="F380" s="98" t="s">
        <v>2247</v>
      </c>
    </row>
    <row r="381" spans="1:6" x14ac:dyDescent="0.25">
      <c r="A381" s="85" t="s">
        <v>2248</v>
      </c>
      <c r="B381" s="79" t="s">
        <v>2115</v>
      </c>
      <c r="C381" s="89" t="s">
        <v>2244</v>
      </c>
      <c r="D381" s="97" t="s">
        <v>2246</v>
      </c>
      <c r="E381" s="86" t="s">
        <v>2249</v>
      </c>
      <c r="F381" s="85" t="s">
        <v>2247</v>
      </c>
    </row>
    <row r="382" spans="1:6" x14ac:dyDescent="0.25">
      <c r="A382" s="85" t="s">
        <v>2250</v>
      </c>
      <c r="B382" s="79" t="s">
        <v>2115</v>
      </c>
      <c r="C382" s="89" t="s">
        <v>2244</v>
      </c>
      <c r="D382" s="97" t="s">
        <v>2246</v>
      </c>
      <c r="E382" s="86" t="s">
        <v>2251</v>
      </c>
      <c r="F382" s="85" t="s">
        <v>2247</v>
      </c>
    </row>
    <row r="383" spans="1:6" x14ac:dyDescent="0.25">
      <c r="A383" s="85" t="s">
        <v>2252</v>
      </c>
      <c r="B383" s="79" t="s">
        <v>2115</v>
      </c>
      <c r="C383" s="89" t="s">
        <v>2244</v>
      </c>
      <c r="D383" s="97" t="s">
        <v>2246</v>
      </c>
      <c r="E383" s="86" t="s">
        <v>2253</v>
      </c>
      <c r="F383" s="85" t="s">
        <v>2247</v>
      </c>
    </row>
    <row r="384" spans="1:6" x14ac:dyDescent="0.25">
      <c r="A384" s="85" t="s">
        <v>2254</v>
      </c>
      <c r="B384" s="79" t="s">
        <v>2115</v>
      </c>
      <c r="C384" s="89" t="s">
        <v>2244</v>
      </c>
      <c r="D384" s="97" t="s">
        <v>2246</v>
      </c>
      <c r="E384" s="86" t="s">
        <v>2255</v>
      </c>
      <c r="F384" s="85" t="s">
        <v>2247</v>
      </c>
    </row>
    <row r="385" spans="1:6" x14ac:dyDescent="0.25">
      <c r="A385" s="96" t="s">
        <v>2256</v>
      </c>
      <c r="B385" s="79" t="s">
        <v>2115</v>
      </c>
      <c r="C385" s="89" t="s">
        <v>2244</v>
      </c>
      <c r="D385" s="97" t="s">
        <v>2257</v>
      </c>
      <c r="E385" s="97"/>
      <c r="F385" s="98" t="s">
        <v>2258</v>
      </c>
    </row>
    <row r="386" spans="1:6" x14ac:dyDescent="0.25">
      <c r="A386" s="85" t="s">
        <v>2259</v>
      </c>
      <c r="B386" s="79" t="s">
        <v>2115</v>
      </c>
      <c r="C386" s="89" t="s">
        <v>2244</v>
      </c>
      <c r="D386" s="97" t="s">
        <v>2257</v>
      </c>
      <c r="E386" s="86" t="s">
        <v>2260</v>
      </c>
      <c r="F386" s="85" t="s">
        <v>2258</v>
      </c>
    </row>
    <row r="387" spans="1:6" x14ac:dyDescent="0.25">
      <c r="A387" s="85" t="s">
        <v>2261</v>
      </c>
      <c r="B387" s="79" t="s">
        <v>2115</v>
      </c>
      <c r="C387" s="89" t="s">
        <v>2244</v>
      </c>
      <c r="D387" s="97" t="s">
        <v>2257</v>
      </c>
      <c r="E387" s="86" t="s">
        <v>2156</v>
      </c>
      <c r="F387" s="85" t="s">
        <v>2258</v>
      </c>
    </row>
    <row r="388" spans="1:6" x14ac:dyDescent="0.25">
      <c r="A388" s="85" t="s">
        <v>2262</v>
      </c>
      <c r="B388" s="79" t="s">
        <v>2115</v>
      </c>
      <c r="C388" s="89" t="s">
        <v>2244</v>
      </c>
      <c r="D388" s="97" t="s">
        <v>2257</v>
      </c>
      <c r="E388" s="86" t="s">
        <v>2158</v>
      </c>
      <c r="F388" s="85" t="s">
        <v>2258</v>
      </c>
    </row>
    <row r="389" spans="1:6" x14ac:dyDescent="0.25">
      <c r="A389" s="85" t="s">
        <v>2263</v>
      </c>
      <c r="B389" s="79" t="s">
        <v>2115</v>
      </c>
      <c r="C389" s="89" t="s">
        <v>2244</v>
      </c>
      <c r="D389" s="97" t="s">
        <v>2257</v>
      </c>
      <c r="E389" s="86" t="s">
        <v>2162</v>
      </c>
      <c r="F389" s="85" t="s">
        <v>2258</v>
      </c>
    </row>
    <row r="390" spans="1:6" x14ac:dyDescent="0.25">
      <c r="A390" s="85" t="s">
        <v>2264</v>
      </c>
      <c r="B390" s="79" t="s">
        <v>2115</v>
      </c>
      <c r="C390" s="89" t="s">
        <v>2244</v>
      </c>
      <c r="D390" s="97" t="s">
        <v>2257</v>
      </c>
      <c r="E390" s="86" t="s">
        <v>633</v>
      </c>
      <c r="F390" s="85" t="s">
        <v>2258</v>
      </c>
    </row>
    <row r="391" spans="1:6" x14ac:dyDescent="0.25">
      <c r="A391" s="85" t="s">
        <v>2265</v>
      </c>
      <c r="B391" s="79" t="s">
        <v>2115</v>
      </c>
      <c r="C391" s="89" t="s">
        <v>2244</v>
      </c>
      <c r="D391" s="97" t="s">
        <v>2257</v>
      </c>
      <c r="E391" s="86" t="s">
        <v>2172</v>
      </c>
      <c r="F391" s="85" t="s">
        <v>2258</v>
      </c>
    </row>
    <row r="392" spans="1:6" x14ac:dyDescent="0.25">
      <c r="A392" s="85" t="s">
        <v>2266</v>
      </c>
      <c r="B392" s="79" t="s">
        <v>2115</v>
      </c>
      <c r="C392" s="89" t="s">
        <v>2244</v>
      </c>
      <c r="D392" s="97" t="s">
        <v>2257</v>
      </c>
      <c r="E392" s="86" t="s">
        <v>2267</v>
      </c>
      <c r="F392" s="85" t="s">
        <v>2258</v>
      </c>
    </row>
    <row r="393" spans="1:6" x14ac:dyDescent="0.25">
      <c r="A393" s="85" t="s">
        <v>2268</v>
      </c>
      <c r="B393" s="79" t="s">
        <v>2115</v>
      </c>
      <c r="C393" s="89" t="s">
        <v>2244</v>
      </c>
      <c r="D393" s="97" t="s">
        <v>2257</v>
      </c>
      <c r="E393" s="86" t="s">
        <v>2269</v>
      </c>
      <c r="F393" s="85" t="s">
        <v>2258</v>
      </c>
    </row>
    <row r="394" spans="1:6" x14ac:dyDescent="0.25">
      <c r="A394" s="96" t="s">
        <v>2270</v>
      </c>
      <c r="B394" s="79" t="s">
        <v>2115</v>
      </c>
      <c r="C394" s="89" t="s">
        <v>2244</v>
      </c>
      <c r="D394" s="97" t="s">
        <v>2271</v>
      </c>
      <c r="E394" s="97"/>
      <c r="F394" s="98" t="s">
        <v>2272</v>
      </c>
    </row>
    <row r="395" spans="1:6" x14ac:dyDescent="0.25">
      <c r="A395" s="85" t="s">
        <v>2273</v>
      </c>
      <c r="B395" s="79" t="s">
        <v>2115</v>
      </c>
      <c r="C395" s="89" t="s">
        <v>2244</v>
      </c>
      <c r="D395" s="97" t="s">
        <v>2271</v>
      </c>
      <c r="E395" s="86" t="s">
        <v>2274</v>
      </c>
      <c r="F395" s="85" t="s">
        <v>2272</v>
      </c>
    </row>
    <row r="396" spans="1:6" x14ac:dyDescent="0.25">
      <c r="A396" s="85" t="s">
        <v>2275</v>
      </c>
      <c r="B396" s="79" t="s">
        <v>2115</v>
      </c>
      <c r="C396" s="89" t="s">
        <v>2244</v>
      </c>
      <c r="D396" s="97" t="s">
        <v>2271</v>
      </c>
      <c r="E396" s="86" t="s">
        <v>2276</v>
      </c>
      <c r="F396" s="85" t="s">
        <v>2272</v>
      </c>
    </row>
    <row r="397" spans="1:6" x14ac:dyDescent="0.25">
      <c r="A397" s="85" t="s">
        <v>2277</v>
      </c>
      <c r="B397" s="79" t="s">
        <v>2115</v>
      </c>
      <c r="C397" s="89" t="s">
        <v>2244</v>
      </c>
      <c r="D397" s="97" t="s">
        <v>2271</v>
      </c>
      <c r="E397" s="86" t="s">
        <v>2278</v>
      </c>
      <c r="F397" s="85" t="s">
        <v>2272</v>
      </c>
    </row>
    <row r="398" spans="1:6" x14ac:dyDescent="0.25">
      <c r="A398" s="85" t="s">
        <v>2279</v>
      </c>
      <c r="B398" s="79" t="s">
        <v>2115</v>
      </c>
      <c r="C398" s="89" t="s">
        <v>2244</v>
      </c>
      <c r="D398" s="97" t="s">
        <v>2271</v>
      </c>
      <c r="E398" s="86" t="s">
        <v>2280</v>
      </c>
      <c r="F398" s="85" t="s">
        <v>2272</v>
      </c>
    </row>
    <row r="399" spans="1:6" x14ac:dyDescent="0.25">
      <c r="A399" s="85" t="s">
        <v>2281</v>
      </c>
      <c r="B399" s="79" t="s">
        <v>2115</v>
      </c>
      <c r="C399" s="89" t="s">
        <v>2244</v>
      </c>
      <c r="D399" s="97" t="s">
        <v>2271</v>
      </c>
      <c r="E399" s="86" t="s">
        <v>2282</v>
      </c>
      <c r="F399" s="85" t="s">
        <v>2272</v>
      </c>
    </row>
    <row r="400" spans="1:6" x14ac:dyDescent="0.2">
      <c r="A400" s="96" t="s">
        <v>2283</v>
      </c>
      <c r="B400" s="79" t="s">
        <v>2115</v>
      </c>
      <c r="C400" s="89" t="s">
        <v>2244</v>
      </c>
      <c r="D400" s="97" t="s">
        <v>2284</v>
      </c>
      <c r="E400" s="97"/>
      <c r="F400" s="101"/>
    </row>
    <row r="401" spans="1:6" x14ac:dyDescent="0.25">
      <c r="A401" s="85" t="s">
        <v>2285</v>
      </c>
      <c r="B401" s="79" t="s">
        <v>2115</v>
      </c>
      <c r="C401" s="89" t="s">
        <v>2244</v>
      </c>
      <c r="D401" s="97" t="s">
        <v>2284</v>
      </c>
      <c r="E401" s="86" t="s">
        <v>2286</v>
      </c>
      <c r="F401" s="85" t="s">
        <v>2272</v>
      </c>
    </row>
    <row r="402" spans="1:6" x14ac:dyDescent="0.25">
      <c r="A402" s="85" t="s">
        <v>2287</v>
      </c>
      <c r="B402" s="79" t="s">
        <v>2115</v>
      </c>
      <c r="C402" s="89" t="s">
        <v>2244</v>
      </c>
      <c r="D402" s="97" t="s">
        <v>2284</v>
      </c>
      <c r="E402" s="86" t="s">
        <v>2288</v>
      </c>
      <c r="F402" s="85" t="s">
        <v>2289</v>
      </c>
    </row>
    <row r="403" spans="1:6" x14ac:dyDescent="0.25">
      <c r="A403" s="85" t="s">
        <v>2290</v>
      </c>
      <c r="B403" s="79" t="s">
        <v>2115</v>
      </c>
      <c r="C403" s="89" t="s">
        <v>2244</v>
      </c>
      <c r="D403" s="97" t="s">
        <v>2284</v>
      </c>
      <c r="E403" s="86" t="s">
        <v>2291</v>
      </c>
      <c r="F403" s="85" t="s">
        <v>2289</v>
      </c>
    </row>
    <row r="404" spans="1:6" x14ac:dyDescent="0.25">
      <c r="A404" s="85" t="s">
        <v>2292</v>
      </c>
      <c r="B404" s="79" t="s">
        <v>2115</v>
      </c>
      <c r="C404" s="89" t="s">
        <v>2244</v>
      </c>
      <c r="D404" s="97" t="s">
        <v>2284</v>
      </c>
      <c r="E404" s="86" t="s">
        <v>2293</v>
      </c>
      <c r="F404" s="85" t="s">
        <v>2208</v>
      </c>
    </row>
    <row r="405" spans="1:6" x14ac:dyDescent="0.25">
      <c r="A405" s="85" t="s">
        <v>2294</v>
      </c>
      <c r="B405" s="79" t="s">
        <v>2115</v>
      </c>
      <c r="C405" s="89" t="s">
        <v>2244</v>
      </c>
      <c r="D405" s="97" t="s">
        <v>2284</v>
      </c>
      <c r="E405" s="86" t="s">
        <v>2295</v>
      </c>
      <c r="F405" s="85" t="s">
        <v>1716</v>
      </c>
    </row>
    <row r="406" spans="1:6" x14ac:dyDescent="0.25">
      <c r="A406" s="85" t="s">
        <v>2296</v>
      </c>
      <c r="B406" s="79" t="s">
        <v>2115</v>
      </c>
      <c r="C406" s="89" t="s">
        <v>2244</v>
      </c>
      <c r="D406" s="97" t="s">
        <v>2284</v>
      </c>
      <c r="E406" s="86" t="s">
        <v>2297</v>
      </c>
      <c r="F406" s="85" t="s">
        <v>1716</v>
      </c>
    </row>
    <row r="407" spans="1:6" x14ac:dyDescent="0.25">
      <c r="A407" s="85" t="s">
        <v>2298</v>
      </c>
      <c r="B407" s="79" t="s">
        <v>2115</v>
      </c>
      <c r="C407" s="89" t="s">
        <v>2244</v>
      </c>
      <c r="D407" s="97" t="s">
        <v>2284</v>
      </c>
      <c r="E407" s="86" t="s">
        <v>2299</v>
      </c>
      <c r="F407" s="85" t="s">
        <v>1716</v>
      </c>
    </row>
    <row r="408" spans="1:6" x14ac:dyDescent="0.25">
      <c r="A408" s="85" t="s">
        <v>2300</v>
      </c>
      <c r="B408" s="79" t="s">
        <v>2115</v>
      </c>
      <c r="C408" s="89" t="s">
        <v>2244</v>
      </c>
      <c r="D408" s="97" t="s">
        <v>2284</v>
      </c>
      <c r="E408" s="86" t="s">
        <v>2193</v>
      </c>
      <c r="F408" s="85" t="s">
        <v>2289</v>
      </c>
    </row>
    <row r="409" spans="1:6" x14ac:dyDescent="0.25">
      <c r="A409" s="85" t="s">
        <v>2301</v>
      </c>
      <c r="B409" s="79" t="s">
        <v>2115</v>
      </c>
      <c r="C409" s="89" t="s">
        <v>2244</v>
      </c>
      <c r="D409" s="97" t="s">
        <v>2284</v>
      </c>
      <c r="E409" s="86" t="s">
        <v>2302</v>
      </c>
      <c r="F409" s="85" t="s">
        <v>2289</v>
      </c>
    </row>
    <row r="410" spans="1:6" x14ac:dyDescent="0.25">
      <c r="A410" s="85" t="s">
        <v>2303</v>
      </c>
      <c r="B410" s="79" t="s">
        <v>2115</v>
      </c>
      <c r="C410" s="89" t="s">
        <v>2244</v>
      </c>
      <c r="D410" s="97" t="s">
        <v>2284</v>
      </c>
      <c r="E410" s="86" t="s">
        <v>2304</v>
      </c>
      <c r="F410" s="85" t="s">
        <v>2289</v>
      </c>
    </row>
    <row r="411" spans="1:6" x14ac:dyDescent="0.25">
      <c r="A411" s="85" t="s">
        <v>2305</v>
      </c>
      <c r="B411" s="79" t="s">
        <v>2115</v>
      </c>
      <c r="C411" s="89" t="s">
        <v>2244</v>
      </c>
      <c r="D411" s="97" t="s">
        <v>2284</v>
      </c>
      <c r="E411" s="86" t="s">
        <v>2306</v>
      </c>
      <c r="F411" s="85" t="s">
        <v>2307</v>
      </c>
    </row>
    <row r="412" spans="1:6" x14ac:dyDescent="0.25">
      <c r="A412" s="85" t="s">
        <v>2308</v>
      </c>
      <c r="B412" s="79" t="s">
        <v>2115</v>
      </c>
      <c r="C412" s="89" t="s">
        <v>2244</v>
      </c>
      <c r="D412" s="97" t="s">
        <v>2284</v>
      </c>
      <c r="E412" s="86" t="s">
        <v>2309</v>
      </c>
      <c r="F412" s="85" t="s">
        <v>2307</v>
      </c>
    </row>
    <row r="413" spans="1:6" x14ac:dyDescent="0.25">
      <c r="A413" s="85" t="s">
        <v>2310</v>
      </c>
      <c r="B413" s="79" t="s">
        <v>2115</v>
      </c>
      <c r="C413" s="89" t="s">
        <v>2244</v>
      </c>
      <c r="D413" s="97" t="s">
        <v>2284</v>
      </c>
      <c r="E413" s="86" t="s">
        <v>2311</v>
      </c>
      <c r="F413" s="85" t="s">
        <v>2307</v>
      </c>
    </row>
    <row r="414" spans="1:6" x14ac:dyDescent="0.25">
      <c r="A414" s="85" t="s">
        <v>2312</v>
      </c>
      <c r="B414" s="79" t="s">
        <v>2115</v>
      </c>
      <c r="C414" s="89" t="s">
        <v>2244</v>
      </c>
      <c r="D414" s="97" t="s">
        <v>2284</v>
      </c>
      <c r="E414" s="86" t="s">
        <v>2313</v>
      </c>
      <c r="F414" s="85" t="s">
        <v>2307</v>
      </c>
    </row>
    <row r="415" spans="1:6" x14ac:dyDescent="0.25">
      <c r="A415" s="85" t="s">
        <v>2314</v>
      </c>
      <c r="B415" s="79" t="s">
        <v>2115</v>
      </c>
      <c r="C415" s="89" t="s">
        <v>2244</v>
      </c>
      <c r="D415" s="97" t="s">
        <v>2284</v>
      </c>
      <c r="E415" s="86" t="s">
        <v>2315</v>
      </c>
      <c r="F415" s="85" t="s">
        <v>2316</v>
      </c>
    </row>
    <row r="416" spans="1:6" x14ac:dyDescent="0.25">
      <c r="A416" s="85" t="s">
        <v>2317</v>
      </c>
      <c r="B416" s="79" t="s">
        <v>2115</v>
      </c>
      <c r="C416" s="89" t="s">
        <v>2244</v>
      </c>
      <c r="D416" s="97" t="s">
        <v>2284</v>
      </c>
      <c r="E416" s="86" t="s">
        <v>2318</v>
      </c>
      <c r="F416" s="85" t="s">
        <v>2289</v>
      </c>
    </row>
    <row r="417" spans="1:6" x14ac:dyDescent="0.25">
      <c r="A417" s="85" t="s">
        <v>2319</v>
      </c>
      <c r="B417" s="79" t="s">
        <v>2115</v>
      </c>
      <c r="C417" s="89" t="s">
        <v>2244</v>
      </c>
      <c r="D417" s="97" t="s">
        <v>2284</v>
      </c>
      <c r="E417" s="86" t="s">
        <v>2320</v>
      </c>
      <c r="F417" s="85" t="s">
        <v>2289</v>
      </c>
    </row>
    <row r="418" spans="1:6" x14ac:dyDescent="0.25">
      <c r="A418" s="85" t="s">
        <v>2321</v>
      </c>
      <c r="B418" s="79" t="s">
        <v>2115</v>
      </c>
      <c r="C418" s="89" t="s">
        <v>2244</v>
      </c>
      <c r="D418" s="97" t="s">
        <v>2284</v>
      </c>
      <c r="E418" s="86" t="s">
        <v>2322</v>
      </c>
      <c r="F418" s="85" t="s">
        <v>2289</v>
      </c>
    </row>
    <row r="419" spans="1:6" x14ac:dyDescent="0.25">
      <c r="A419" s="85" t="s">
        <v>2323</v>
      </c>
      <c r="B419" s="79" t="s">
        <v>2115</v>
      </c>
      <c r="C419" s="89" t="s">
        <v>2244</v>
      </c>
      <c r="D419" s="97" t="s">
        <v>2284</v>
      </c>
      <c r="E419" s="86" t="s">
        <v>2324</v>
      </c>
      <c r="F419" s="85" t="s">
        <v>2179</v>
      </c>
    </row>
    <row r="420" spans="1:6" x14ac:dyDescent="0.25">
      <c r="A420" s="85" t="s">
        <v>2325</v>
      </c>
      <c r="B420" s="79" t="s">
        <v>2115</v>
      </c>
      <c r="C420" s="89" t="s">
        <v>2244</v>
      </c>
      <c r="D420" s="97" t="s">
        <v>2284</v>
      </c>
      <c r="E420" s="86" t="s">
        <v>2326</v>
      </c>
      <c r="F420" s="85" t="s">
        <v>2316</v>
      </c>
    </row>
    <row r="421" spans="1:6" x14ac:dyDescent="0.25">
      <c r="A421" s="85" t="s">
        <v>2327</v>
      </c>
      <c r="B421" s="79" t="s">
        <v>2115</v>
      </c>
      <c r="C421" s="89" t="s">
        <v>2244</v>
      </c>
      <c r="D421" s="97" t="s">
        <v>2284</v>
      </c>
      <c r="E421" s="86" t="s">
        <v>2328</v>
      </c>
      <c r="F421" s="85" t="s">
        <v>2307</v>
      </c>
    </row>
    <row r="422" spans="1:6" x14ac:dyDescent="0.25">
      <c r="A422" s="85" t="s">
        <v>2329</v>
      </c>
      <c r="B422" s="79" t="s">
        <v>2115</v>
      </c>
      <c r="C422" s="89" t="s">
        <v>2244</v>
      </c>
      <c r="D422" s="97" t="s">
        <v>2284</v>
      </c>
      <c r="E422" s="86" t="s">
        <v>2330</v>
      </c>
      <c r="F422" s="85" t="s">
        <v>2331</v>
      </c>
    </row>
    <row r="423" spans="1:6" x14ac:dyDescent="0.25">
      <c r="A423" s="96" t="s">
        <v>2332</v>
      </c>
      <c r="B423" s="79" t="s">
        <v>2115</v>
      </c>
      <c r="C423" s="89" t="s">
        <v>2244</v>
      </c>
      <c r="D423" s="97" t="s">
        <v>2333</v>
      </c>
      <c r="E423" s="97"/>
      <c r="F423" s="98" t="s">
        <v>1622</v>
      </c>
    </row>
    <row r="424" spans="1:6" x14ac:dyDescent="0.25">
      <c r="A424" s="85" t="s">
        <v>2334</v>
      </c>
      <c r="B424" s="79" t="s">
        <v>2115</v>
      </c>
      <c r="C424" s="89" t="s">
        <v>2244</v>
      </c>
      <c r="D424" s="97" t="s">
        <v>2333</v>
      </c>
      <c r="E424" s="86" t="s">
        <v>2335</v>
      </c>
      <c r="F424" s="85" t="s">
        <v>1622</v>
      </c>
    </row>
    <row r="425" spans="1:6" x14ac:dyDescent="0.25">
      <c r="A425" s="85" t="s">
        <v>2336</v>
      </c>
      <c r="B425" s="79" t="s">
        <v>2115</v>
      </c>
      <c r="C425" s="89" t="s">
        <v>2244</v>
      </c>
      <c r="D425" s="97" t="s">
        <v>2333</v>
      </c>
      <c r="E425" s="86" t="s">
        <v>2337</v>
      </c>
      <c r="F425" s="85" t="s">
        <v>1622</v>
      </c>
    </row>
    <row r="426" spans="1:6" x14ac:dyDescent="0.25">
      <c r="A426" s="88" t="s">
        <v>2338</v>
      </c>
      <c r="B426" s="79" t="s">
        <v>2115</v>
      </c>
      <c r="C426" s="89" t="s">
        <v>2339</v>
      </c>
      <c r="D426" s="89"/>
      <c r="E426" s="89"/>
      <c r="F426" s="89"/>
    </row>
    <row r="427" spans="1:6" x14ac:dyDescent="0.2">
      <c r="A427" s="85" t="s">
        <v>2340</v>
      </c>
      <c r="B427" s="79" t="s">
        <v>2115</v>
      </c>
      <c r="C427" s="89" t="s">
        <v>2339</v>
      </c>
      <c r="D427" s="85" t="s">
        <v>2341</v>
      </c>
      <c r="E427" s="87"/>
      <c r="F427" s="92"/>
    </row>
    <row r="428" spans="1:6" x14ac:dyDescent="0.2">
      <c r="A428" s="88" t="s">
        <v>2342</v>
      </c>
      <c r="B428" s="79" t="s">
        <v>2115</v>
      </c>
      <c r="C428" s="88" t="s">
        <v>2343</v>
      </c>
      <c r="D428" s="105"/>
      <c r="E428" s="106"/>
      <c r="F428" s="105"/>
    </row>
    <row r="429" spans="1:6" x14ac:dyDescent="0.2">
      <c r="A429" s="85" t="s">
        <v>2344</v>
      </c>
      <c r="B429" s="79" t="s">
        <v>2115</v>
      </c>
      <c r="C429" s="88" t="s">
        <v>2343</v>
      </c>
      <c r="D429" s="85" t="s">
        <v>2345</v>
      </c>
      <c r="E429" s="87"/>
      <c r="F429" s="92"/>
    </row>
    <row r="430" spans="1:6" x14ac:dyDescent="0.2">
      <c r="A430" s="96" t="s">
        <v>2346</v>
      </c>
      <c r="B430" s="79" t="s">
        <v>2115</v>
      </c>
      <c r="C430" s="88" t="s">
        <v>2343</v>
      </c>
      <c r="D430" s="97" t="s">
        <v>2347</v>
      </c>
      <c r="E430" s="97"/>
      <c r="F430" s="101"/>
    </row>
    <row r="431" spans="1:6" x14ac:dyDescent="0.25">
      <c r="A431" s="85" t="s">
        <v>2348</v>
      </c>
      <c r="B431" s="79" t="s">
        <v>2115</v>
      </c>
      <c r="C431" s="88" t="s">
        <v>2343</v>
      </c>
      <c r="D431" s="97" t="s">
        <v>2347</v>
      </c>
      <c r="E431" s="86" t="s">
        <v>2349</v>
      </c>
      <c r="F431" s="85" t="s">
        <v>2350</v>
      </c>
    </row>
    <row r="432" spans="1:6" x14ac:dyDescent="0.25">
      <c r="A432" s="85" t="s">
        <v>2351</v>
      </c>
      <c r="B432" s="79" t="s">
        <v>2115</v>
      </c>
      <c r="C432" s="88" t="s">
        <v>2343</v>
      </c>
      <c r="D432" s="97" t="s">
        <v>2347</v>
      </c>
      <c r="E432" s="86" t="s">
        <v>2352</v>
      </c>
      <c r="F432" s="85" t="s">
        <v>2350</v>
      </c>
    </row>
    <row r="433" spans="1:6" x14ac:dyDescent="0.25">
      <c r="A433" s="85" t="s">
        <v>2353</v>
      </c>
      <c r="B433" s="79" t="s">
        <v>2115</v>
      </c>
      <c r="C433" s="88" t="s">
        <v>2343</v>
      </c>
      <c r="D433" s="97" t="s">
        <v>2347</v>
      </c>
      <c r="E433" s="86" t="s">
        <v>2354</v>
      </c>
      <c r="F433" s="85" t="s">
        <v>2350</v>
      </c>
    </row>
    <row r="434" spans="1:6" x14ac:dyDescent="0.25">
      <c r="A434" s="85" t="s">
        <v>2355</v>
      </c>
      <c r="B434" s="79" t="s">
        <v>2115</v>
      </c>
      <c r="C434" s="88" t="s">
        <v>2343</v>
      </c>
      <c r="D434" s="97" t="s">
        <v>2347</v>
      </c>
      <c r="E434" s="86" t="s">
        <v>2356</v>
      </c>
      <c r="F434" s="85" t="s">
        <v>2350</v>
      </c>
    </row>
    <row r="435" spans="1:6" x14ac:dyDescent="0.25">
      <c r="A435" s="85" t="s">
        <v>2357</v>
      </c>
      <c r="B435" s="79" t="s">
        <v>2115</v>
      </c>
      <c r="C435" s="88" t="s">
        <v>2343</v>
      </c>
      <c r="D435" s="97" t="s">
        <v>2347</v>
      </c>
      <c r="E435" s="107" t="s">
        <v>2358</v>
      </c>
      <c r="F435" s="95" t="s">
        <v>2359</v>
      </c>
    </row>
    <row r="436" spans="1:6" x14ac:dyDescent="0.25">
      <c r="A436" s="85" t="s">
        <v>2360</v>
      </c>
      <c r="B436" s="79" t="s">
        <v>2115</v>
      </c>
      <c r="C436" s="88" t="s">
        <v>2343</v>
      </c>
      <c r="D436" s="97" t="s">
        <v>2347</v>
      </c>
      <c r="E436" s="108" t="s">
        <v>2361</v>
      </c>
      <c r="F436" s="95" t="s">
        <v>2362</v>
      </c>
    </row>
    <row r="437" spans="1:6" x14ac:dyDescent="0.25">
      <c r="A437" s="85" t="s">
        <v>2363</v>
      </c>
      <c r="B437" s="79" t="s">
        <v>2115</v>
      </c>
      <c r="C437" s="88" t="s">
        <v>2343</v>
      </c>
      <c r="D437" s="97" t="s">
        <v>2347</v>
      </c>
      <c r="E437" s="86" t="s">
        <v>2364</v>
      </c>
      <c r="F437" s="85" t="s">
        <v>2365</v>
      </c>
    </row>
    <row r="438" spans="1:6" x14ac:dyDescent="0.25">
      <c r="A438" s="85" t="s">
        <v>2366</v>
      </c>
      <c r="B438" s="79" t="s">
        <v>2115</v>
      </c>
      <c r="C438" s="88" t="s">
        <v>2343</v>
      </c>
      <c r="D438" s="97" t="s">
        <v>2347</v>
      </c>
      <c r="E438" s="108" t="s">
        <v>2367</v>
      </c>
      <c r="F438" s="95" t="s">
        <v>2362</v>
      </c>
    </row>
    <row r="439" spans="1:6" x14ac:dyDescent="0.25">
      <c r="A439" s="88" t="s">
        <v>2368</v>
      </c>
      <c r="B439" s="79" t="s">
        <v>2115</v>
      </c>
      <c r="C439" s="89" t="s">
        <v>2369</v>
      </c>
      <c r="D439" s="89"/>
      <c r="E439" s="89"/>
      <c r="F439" s="89"/>
    </row>
    <row r="440" spans="1:6" x14ac:dyDescent="0.2">
      <c r="A440" s="96" t="s">
        <v>2370</v>
      </c>
      <c r="B440" s="79" t="s">
        <v>2115</v>
      </c>
      <c r="C440" s="89" t="s">
        <v>2369</v>
      </c>
      <c r="D440" s="97" t="s">
        <v>2371</v>
      </c>
      <c r="E440" s="97"/>
      <c r="F440" s="101"/>
    </row>
    <row r="441" spans="1:6" x14ac:dyDescent="0.25">
      <c r="A441" s="85" t="s">
        <v>2372</v>
      </c>
      <c r="B441" s="79" t="s">
        <v>2115</v>
      </c>
      <c r="C441" s="89" t="s">
        <v>2369</v>
      </c>
      <c r="D441" s="97" t="s">
        <v>2371</v>
      </c>
      <c r="E441" s="86" t="s">
        <v>2373</v>
      </c>
      <c r="F441" s="85" t="s">
        <v>2374</v>
      </c>
    </row>
    <row r="442" spans="1:6" x14ac:dyDescent="0.25">
      <c r="A442" s="85" t="s">
        <v>2375</v>
      </c>
      <c r="B442" s="79" t="s">
        <v>2115</v>
      </c>
      <c r="C442" s="89" t="s">
        <v>2369</v>
      </c>
      <c r="D442" s="97" t="s">
        <v>2371</v>
      </c>
      <c r="E442" s="86" t="s">
        <v>2376</v>
      </c>
      <c r="F442" s="85" t="s">
        <v>2374</v>
      </c>
    </row>
    <row r="443" spans="1:6" x14ac:dyDescent="0.25">
      <c r="A443" s="85" t="s">
        <v>2377</v>
      </c>
      <c r="B443" s="79" t="s">
        <v>2115</v>
      </c>
      <c r="C443" s="89" t="s">
        <v>2369</v>
      </c>
      <c r="D443" s="97" t="s">
        <v>2371</v>
      </c>
      <c r="E443" s="86" t="s">
        <v>2378</v>
      </c>
      <c r="F443" s="85" t="s">
        <v>2374</v>
      </c>
    </row>
    <row r="444" spans="1:6" x14ac:dyDescent="0.25">
      <c r="A444" s="85" t="s">
        <v>2379</v>
      </c>
      <c r="B444" s="79" t="s">
        <v>2115</v>
      </c>
      <c r="C444" s="89" t="s">
        <v>2369</v>
      </c>
      <c r="D444" s="97" t="s">
        <v>2371</v>
      </c>
      <c r="E444" s="86" t="s">
        <v>2380</v>
      </c>
      <c r="F444" s="85" t="s">
        <v>2381</v>
      </c>
    </row>
    <row r="445" spans="1:6" x14ac:dyDescent="0.25">
      <c r="A445" s="85" t="s">
        <v>2382</v>
      </c>
      <c r="B445" s="79" t="s">
        <v>2115</v>
      </c>
      <c r="C445" s="89" t="s">
        <v>2369</v>
      </c>
      <c r="D445" s="97" t="s">
        <v>2371</v>
      </c>
      <c r="E445" s="86" t="s">
        <v>2383</v>
      </c>
      <c r="F445" s="85" t="s">
        <v>2381</v>
      </c>
    </row>
    <row r="446" spans="1:6" x14ac:dyDescent="0.2">
      <c r="A446" s="96" t="s">
        <v>2384</v>
      </c>
      <c r="B446" s="79" t="s">
        <v>2115</v>
      </c>
      <c r="C446" s="89" t="s">
        <v>2369</v>
      </c>
      <c r="D446" s="97" t="s">
        <v>2385</v>
      </c>
      <c r="E446" s="97"/>
      <c r="F446" s="101"/>
    </row>
    <row r="447" spans="1:6" x14ac:dyDescent="0.25">
      <c r="A447" s="85" t="s">
        <v>2386</v>
      </c>
      <c r="B447" s="79" t="s">
        <v>2115</v>
      </c>
      <c r="C447" s="89" t="s">
        <v>2369</v>
      </c>
      <c r="D447" s="97" t="s">
        <v>2385</v>
      </c>
      <c r="E447" s="86" t="s">
        <v>2387</v>
      </c>
      <c r="F447" s="85" t="s">
        <v>2381</v>
      </c>
    </row>
    <row r="448" spans="1:6" x14ac:dyDescent="0.25">
      <c r="A448" s="85" t="s">
        <v>2388</v>
      </c>
      <c r="B448" s="79" t="s">
        <v>2115</v>
      </c>
      <c r="C448" s="89" t="s">
        <v>2369</v>
      </c>
      <c r="D448" s="97" t="s">
        <v>2385</v>
      </c>
      <c r="E448" s="86" t="s">
        <v>2389</v>
      </c>
      <c r="F448" s="85" t="s">
        <v>2381</v>
      </c>
    </row>
    <row r="449" spans="1:6" x14ac:dyDescent="0.25">
      <c r="A449" s="85" t="s">
        <v>2390</v>
      </c>
      <c r="B449" s="79" t="s">
        <v>2115</v>
      </c>
      <c r="C449" s="89" t="s">
        <v>2369</v>
      </c>
      <c r="D449" s="97" t="s">
        <v>2385</v>
      </c>
      <c r="E449" s="86" t="s">
        <v>2391</v>
      </c>
      <c r="F449" s="85" t="s">
        <v>2381</v>
      </c>
    </row>
    <row r="450" spans="1:6" x14ac:dyDescent="0.25">
      <c r="A450" s="85" t="s">
        <v>2392</v>
      </c>
      <c r="B450" s="79" t="s">
        <v>2115</v>
      </c>
      <c r="C450" s="89" t="s">
        <v>2369</v>
      </c>
      <c r="D450" s="97" t="s">
        <v>2385</v>
      </c>
      <c r="E450" s="86" t="s">
        <v>2158</v>
      </c>
      <c r="F450" s="85" t="s">
        <v>2381</v>
      </c>
    </row>
    <row r="451" spans="1:6" x14ac:dyDescent="0.25">
      <c r="A451" s="85" t="s">
        <v>2393</v>
      </c>
      <c r="B451" s="79" t="s">
        <v>2115</v>
      </c>
      <c r="C451" s="89" t="s">
        <v>2369</v>
      </c>
      <c r="D451" s="97" t="s">
        <v>2385</v>
      </c>
      <c r="E451" s="86" t="s">
        <v>2394</v>
      </c>
      <c r="F451" s="85" t="s">
        <v>2381</v>
      </c>
    </row>
    <row r="452" spans="1:6" x14ac:dyDescent="0.25">
      <c r="A452" s="85" t="s">
        <v>2395</v>
      </c>
      <c r="B452" s="79" t="s">
        <v>2115</v>
      </c>
      <c r="C452" s="89" t="s">
        <v>2369</v>
      </c>
      <c r="D452" s="97" t="s">
        <v>2385</v>
      </c>
      <c r="E452" s="86" t="s">
        <v>2396</v>
      </c>
      <c r="F452" s="85" t="s">
        <v>2381</v>
      </c>
    </row>
    <row r="453" spans="1:6" x14ac:dyDescent="0.25">
      <c r="A453" s="85" t="s">
        <v>2397</v>
      </c>
      <c r="B453" s="79" t="s">
        <v>2115</v>
      </c>
      <c r="C453" s="89" t="s">
        <v>2369</v>
      </c>
      <c r="D453" s="97" t="s">
        <v>2385</v>
      </c>
      <c r="E453" s="86" t="s">
        <v>2398</v>
      </c>
      <c r="F453" s="85" t="s">
        <v>2381</v>
      </c>
    </row>
    <row r="454" spans="1:6" x14ac:dyDescent="0.25">
      <c r="A454" s="85" t="s">
        <v>2399</v>
      </c>
      <c r="B454" s="79" t="s">
        <v>2115</v>
      </c>
      <c r="C454" s="89" t="s">
        <v>2369</v>
      </c>
      <c r="D454" s="97" t="s">
        <v>2385</v>
      </c>
      <c r="E454" s="86" t="s">
        <v>2400</v>
      </c>
      <c r="F454" s="85" t="s">
        <v>2381</v>
      </c>
    </row>
    <row r="455" spans="1:6" x14ac:dyDescent="0.25">
      <c r="A455" s="85" t="s">
        <v>2401</v>
      </c>
      <c r="B455" s="79" t="s">
        <v>2115</v>
      </c>
      <c r="C455" s="89" t="s">
        <v>2369</v>
      </c>
      <c r="D455" s="97" t="s">
        <v>2385</v>
      </c>
      <c r="E455" s="86" t="s">
        <v>2402</v>
      </c>
      <c r="F455" s="85" t="s">
        <v>2381</v>
      </c>
    </row>
    <row r="456" spans="1:6" x14ac:dyDescent="0.2">
      <c r="A456" s="85" t="s">
        <v>2403</v>
      </c>
      <c r="B456" s="79" t="s">
        <v>2115</v>
      </c>
      <c r="C456" s="89" t="s">
        <v>2369</v>
      </c>
      <c r="D456" s="85" t="s">
        <v>2404</v>
      </c>
      <c r="E456" s="87"/>
      <c r="F456" s="92"/>
    </row>
    <row r="457" spans="1:6" x14ac:dyDescent="0.25">
      <c r="A457" s="88" t="s">
        <v>2405</v>
      </c>
      <c r="B457" s="79" t="s">
        <v>2115</v>
      </c>
      <c r="C457" s="89" t="s">
        <v>2406</v>
      </c>
      <c r="D457" s="89"/>
      <c r="E457" s="89"/>
      <c r="F457" s="89"/>
    </row>
    <row r="458" spans="1:6" x14ac:dyDescent="0.2">
      <c r="A458" s="96" t="s">
        <v>2407</v>
      </c>
      <c r="B458" s="79" t="s">
        <v>2115</v>
      </c>
      <c r="C458" s="89" t="s">
        <v>2406</v>
      </c>
      <c r="D458" s="97" t="s">
        <v>2408</v>
      </c>
      <c r="E458" s="97"/>
      <c r="F458" s="101"/>
    </row>
    <row r="459" spans="1:6" x14ac:dyDescent="0.25">
      <c r="A459" s="85" t="s">
        <v>2409</v>
      </c>
      <c r="B459" s="79" t="s">
        <v>2115</v>
      </c>
      <c r="C459" s="89" t="s">
        <v>2406</v>
      </c>
      <c r="D459" s="97" t="s">
        <v>2408</v>
      </c>
      <c r="E459" s="86" t="s">
        <v>2410</v>
      </c>
      <c r="F459" s="85" t="s">
        <v>2411</v>
      </c>
    </row>
    <row r="460" spans="1:6" x14ac:dyDescent="0.25">
      <c r="A460" s="85" t="s">
        <v>2412</v>
      </c>
      <c r="B460" s="79" t="s">
        <v>2115</v>
      </c>
      <c r="C460" s="89" t="s">
        <v>2406</v>
      </c>
      <c r="D460" s="97" t="s">
        <v>2408</v>
      </c>
      <c r="E460" s="86" t="s">
        <v>2413</v>
      </c>
      <c r="F460" s="85" t="s">
        <v>2411</v>
      </c>
    </row>
    <row r="461" spans="1:6" x14ac:dyDescent="0.25">
      <c r="A461" s="85" t="s">
        <v>2414</v>
      </c>
      <c r="B461" s="79" t="s">
        <v>2115</v>
      </c>
      <c r="C461" s="89" t="s">
        <v>2406</v>
      </c>
      <c r="D461" s="97" t="s">
        <v>2408</v>
      </c>
      <c r="E461" s="86" t="s">
        <v>2415</v>
      </c>
      <c r="F461" s="85" t="s">
        <v>2411</v>
      </c>
    </row>
    <row r="462" spans="1:6" x14ac:dyDescent="0.25">
      <c r="A462" s="85" t="s">
        <v>2416</v>
      </c>
      <c r="B462" s="79" t="s">
        <v>2115</v>
      </c>
      <c r="C462" s="89" t="s">
        <v>2406</v>
      </c>
      <c r="D462" s="97" t="s">
        <v>2408</v>
      </c>
      <c r="E462" s="86" t="s">
        <v>2417</v>
      </c>
      <c r="F462" s="85" t="s">
        <v>2411</v>
      </c>
    </row>
    <row r="463" spans="1:6" x14ac:dyDescent="0.25">
      <c r="A463" s="85" t="s">
        <v>2418</v>
      </c>
      <c r="B463" s="79" t="s">
        <v>2115</v>
      </c>
      <c r="C463" s="89" t="s">
        <v>2406</v>
      </c>
      <c r="D463" s="97" t="s">
        <v>2408</v>
      </c>
      <c r="E463" s="86" t="s">
        <v>2419</v>
      </c>
      <c r="F463" s="85" t="s">
        <v>2411</v>
      </c>
    </row>
    <row r="464" spans="1:6" x14ac:dyDescent="0.25">
      <c r="A464" s="85" t="s">
        <v>2420</v>
      </c>
      <c r="B464" s="79" t="s">
        <v>2115</v>
      </c>
      <c r="C464" s="89" t="s">
        <v>2406</v>
      </c>
      <c r="D464" s="97" t="s">
        <v>2408</v>
      </c>
      <c r="E464" s="86" t="s">
        <v>2421</v>
      </c>
      <c r="F464" s="85" t="s">
        <v>2411</v>
      </c>
    </row>
    <row r="465" spans="1:6" x14ac:dyDescent="0.25">
      <c r="A465" s="96" t="s">
        <v>2422</v>
      </c>
      <c r="B465" s="79" t="s">
        <v>2115</v>
      </c>
      <c r="C465" s="89" t="s">
        <v>2406</v>
      </c>
      <c r="D465" s="97" t="s">
        <v>2423</v>
      </c>
      <c r="E465" s="97"/>
      <c r="F465" s="98" t="s">
        <v>2424</v>
      </c>
    </row>
    <row r="466" spans="1:6" x14ac:dyDescent="0.25">
      <c r="A466" s="85" t="s">
        <v>2425</v>
      </c>
      <c r="B466" s="79" t="s">
        <v>2115</v>
      </c>
      <c r="C466" s="89" t="s">
        <v>2406</v>
      </c>
      <c r="D466" s="97" t="s">
        <v>2423</v>
      </c>
      <c r="E466" s="86" t="s">
        <v>2426</v>
      </c>
      <c r="F466" s="85" t="s">
        <v>2424</v>
      </c>
    </row>
    <row r="467" spans="1:6" x14ac:dyDescent="0.25">
      <c r="A467" s="85" t="s">
        <v>2427</v>
      </c>
      <c r="B467" s="79" t="s">
        <v>2115</v>
      </c>
      <c r="C467" s="89" t="s">
        <v>2406</v>
      </c>
      <c r="D467" s="97" t="s">
        <v>2423</v>
      </c>
      <c r="E467" s="86" t="s">
        <v>2428</v>
      </c>
      <c r="F467" s="85" t="s">
        <v>2424</v>
      </c>
    </row>
    <row r="468" spans="1:6" x14ac:dyDescent="0.25">
      <c r="A468" s="85" t="s">
        <v>2429</v>
      </c>
      <c r="B468" s="79" t="s">
        <v>2115</v>
      </c>
      <c r="C468" s="89" t="s">
        <v>2406</v>
      </c>
      <c r="D468" s="97" t="s">
        <v>2423</v>
      </c>
      <c r="E468" s="86" t="s">
        <v>2430</v>
      </c>
      <c r="F468" s="85" t="s">
        <v>2424</v>
      </c>
    </row>
    <row r="469" spans="1:6" x14ac:dyDescent="0.25">
      <c r="A469" s="85" t="s">
        <v>2431</v>
      </c>
      <c r="B469" s="79" t="s">
        <v>2115</v>
      </c>
      <c r="C469" s="89" t="s">
        <v>2406</v>
      </c>
      <c r="D469" s="97" t="s">
        <v>2423</v>
      </c>
      <c r="E469" s="86" t="s">
        <v>2432</v>
      </c>
      <c r="F469" s="85" t="s">
        <v>2424</v>
      </c>
    </row>
    <row r="470" spans="1:6" x14ac:dyDescent="0.25">
      <c r="A470" s="85" t="s">
        <v>2433</v>
      </c>
      <c r="B470" s="79" t="s">
        <v>2115</v>
      </c>
      <c r="C470" s="89" t="s">
        <v>2406</v>
      </c>
      <c r="D470" s="97" t="s">
        <v>2423</v>
      </c>
      <c r="E470" s="86" t="s">
        <v>2434</v>
      </c>
      <c r="F470" s="85" t="s">
        <v>2424</v>
      </c>
    </row>
    <row r="471" spans="1:6" x14ac:dyDescent="0.25">
      <c r="A471" s="88" t="s">
        <v>2435</v>
      </c>
      <c r="B471" s="79" t="s">
        <v>2115</v>
      </c>
      <c r="C471" s="89" t="s">
        <v>2436</v>
      </c>
      <c r="D471" s="89"/>
      <c r="E471" s="89"/>
      <c r="F471" s="89"/>
    </row>
    <row r="472" spans="1:6" x14ac:dyDescent="0.2">
      <c r="A472" s="96" t="s">
        <v>2437</v>
      </c>
      <c r="B472" s="79" t="s">
        <v>2115</v>
      </c>
      <c r="C472" s="89" t="s">
        <v>2436</v>
      </c>
      <c r="D472" s="97" t="s">
        <v>2438</v>
      </c>
      <c r="E472" s="97"/>
      <c r="F472" s="101"/>
    </row>
    <row r="473" spans="1:6" x14ac:dyDescent="0.25">
      <c r="A473" s="85" t="s">
        <v>2439</v>
      </c>
      <c r="B473" s="79" t="s">
        <v>2115</v>
      </c>
      <c r="C473" s="89" t="s">
        <v>2436</v>
      </c>
      <c r="D473" s="97" t="s">
        <v>2438</v>
      </c>
      <c r="E473" s="86" t="s">
        <v>2440</v>
      </c>
      <c r="F473" s="85" t="s">
        <v>1772</v>
      </c>
    </row>
    <row r="474" spans="1:6" x14ac:dyDescent="0.25">
      <c r="A474" s="85" t="s">
        <v>2441</v>
      </c>
      <c r="B474" s="79" t="s">
        <v>2115</v>
      </c>
      <c r="C474" s="89" t="s">
        <v>2436</v>
      </c>
      <c r="D474" s="97" t="s">
        <v>2438</v>
      </c>
      <c r="E474" s="86" t="s">
        <v>2442</v>
      </c>
      <c r="F474" s="85" t="s">
        <v>1772</v>
      </c>
    </row>
    <row r="475" spans="1:6" x14ac:dyDescent="0.2">
      <c r="A475" s="96" t="s">
        <v>2443</v>
      </c>
      <c r="B475" s="79" t="s">
        <v>2115</v>
      </c>
      <c r="C475" s="89" t="s">
        <v>2436</v>
      </c>
      <c r="D475" s="97" t="s">
        <v>2444</v>
      </c>
      <c r="E475" s="97"/>
      <c r="F475" s="101"/>
    </row>
    <row r="476" spans="1:6" x14ac:dyDescent="0.25">
      <c r="A476" s="85" t="s">
        <v>2445</v>
      </c>
      <c r="B476" s="79" t="s">
        <v>2115</v>
      </c>
      <c r="C476" s="89" t="s">
        <v>2436</v>
      </c>
      <c r="D476" s="97" t="s">
        <v>2444</v>
      </c>
      <c r="E476" s="86" t="s">
        <v>2446</v>
      </c>
      <c r="F476" s="85" t="s">
        <v>2150</v>
      </c>
    </row>
    <row r="477" spans="1:6" x14ac:dyDescent="0.25">
      <c r="A477" s="85" t="s">
        <v>2447</v>
      </c>
      <c r="B477" s="79" t="s">
        <v>2115</v>
      </c>
      <c r="C477" s="89" t="s">
        <v>2436</v>
      </c>
      <c r="D477" s="97" t="s">
        <v>2444</v>
      </c>
      <c r="E477" s="86" t="s">
        <v>2448</v>
      </c>
      <c r="F477" s="95" t="s">
        <v>2217</v>
      </c>
    </row>
    <row r="478" spans="1:6" x14ac:dyDescent="0.25">
      <c r="A478" s="85" t="s">
        <v>2449</v>
      </c>
      <c r="B478" s="79" t="s">
        <v>2115</v>
      </c>
      <c r="C478" s="89" t="s">
        <v>2436</v>
      </c>
      <c r="D478" s="97" t="s">
        <v>2444</v>
      </c>
      <c r="E478" s="86" t="s">
        <v>2450</v>
      </c>
      <c r="F478" s="85" t="s">
        <v>2150</v>
      </c>
    </row>
    <row r="479" spans="1:6" x14ac:dyDescent="0.25">
      <c r="A479" s="85" t="s">
        <v>2451</v>
      </c>
      <c r="B479" s="79" t="s">
        <v>2115</v>
      </c>
      <c r="C479" s="89" t="s">
        <v>2436</v>
      </c>
      <c r="D479" s="97" t="s">
        <v>2444</v>
      </c>
      <c r="E479" s="86" t="s">
        <v>2452</v>
      </c>
      <c r="F479" s="85" t="s">
        <v>2150</v>
      </c>
    </row>
    <row r="480" spans="1:6" x14ac:dyDescent="0.25">
      <c r="A480" s="85" t="s">
        <v>2453</v>
      </c>
      <c r="B480" s="79" t="s">
        <v>2115</v>
      </c>
      <c r="C480" s="89" t="s">
        <v>2436</v>
      </c>
      <c r="D480" s="97" t="s">
        <v>2444</v>
      </c>
      <c r="E480" s="86" t="s">
        <v>2454</v>
      </c>
      <c r="F480" s="85" t="s">
        <v>2217</v>
      </c>
    </row>
    <row r="481" spans="1:6" x14ac:dyDescent="0.25">
      <c r="A481" s="85" t="s">
        <v>2455</v>
      </c>
      <c r="B481" s="79" t="s">
        <v>2115</v>
      </c>
      <c r="C481" s="89" t="s">
        <v>2436</v>
      </c>
      <c r="D481" s="97" t="s">
        <v>2444</v>
      </c>
      <c r="E481" s="86" t="s">
        <v>2456</v>
      </c>
      <c r="F481" s="85" t="s">
        <v>2217</v>
      </c>
    </row>
    <row r="482" spans="1:6" x14ac:dyDescent="0.25">
      <c r="A482" s="88" t="s">
        <v>2457</v>
      </c>
      <c r="B482" s="79" t="s">
        <v>2115</v>
      </c>
      <c r="C482" s="89" t="s">
        <v>2458</v>
      </c>
      <c r="D482" s="89"/>
      <c r="E482" s="89"/>
      <c r="F482" s="100" t="s">
        <v>1713</v>
      </c>
    </row>
    <row r="483" spans="1:6" x14ac:dyDescent="0.25">
      <c r="A483" s="96" t="s">
        <v>2459</v>
      </c>
      <c r="B483" s="79" t="s">
        <v>2115</v>
      </c>
      <c r="C483" s="89" t="s">
        <v>2458</v>
      </c>
      <c r="D483" s="97" t="s">
        <v>2460</v>
      </c>
      <c r="E483" s="97"/>
      <c r="F483" s="98" t="s">
        <v>1713</v>
      </c>
    </row>
    <row r="484" spans="1:6" x14ac:dyDescent="0.25">
      <c r="A484" s="85" t="s">
        <v>2461</v>
      </c>
      <c r="B484" s="79" t="s">
        <v>2115</v>
      </c>
      <c r="C484" s="89" t="s">
        <v>2458</v>
      </c>
      <c r="D484" s="97" t="s">
        <v>2460</v>
      </c>
      <c r="E484" s="86" t="s">
        <v>2462</v>
      </c>
      <c r="F484" s="85" t="s">
        <v>1713</v>
      </c>
    </row>
    <row r="485" spans="1:6" x14ac:dyDescent="0.25">
      <c r="A485" s="85" t="s">
        <v>2463</v>
      </c>
      <c r="B485" s="79" t="s">
        <v>2115</v>
      </c>
      <c r="C485" s="89" t="s">
        <v>2458</v>
      </c>
      <c r="D485" s="97" t="s">
        <v>2460</v>
      </c>
      <c r="E485" s="86" t="s">
        <v>1895</v>
      </c>
      <c r="F485" s="85" t="s">
        <v>180</v>
      </c>
    </row>
    <row r="486" spans="1:6" x14ac:dyDescent="0.25">
      <c r="A486" s="85" t="s">
        <v>2464</v>
      </c>
      <c r="B486" s="79" t="s">
        <v>2115</v>
      </c>
      <c r="C486" s="89" t="s">
        <v>2458</v>
      </c>
      <c r="D486" s="97" t="s">
        <v>2460</v>
      </c>
      <c r="E486" s="86" t="s">
        <v>2465</v>
      </c>
      <c r="F486" s="85" t="s">
        <v>180</v>
      </c>
    </row>
    <row r="487" spans="1:6" x14ac:dyDescent="0.25">
      <c r="A487" s="85" t="s">
        <v>2466</v>
      </c>
      <c r="B487" s="79" t="s">
        <v>2115</v>
      </c>
      <c r="C487" s="89" t="s">
        <v>2458</v>
      </c>
      <c r="D487" s="97" t="s">
        <v>2460</v>
      </c>
      <c r="E487" s="86" t="s">
        <v>2467</v>
      </c>
      <c r="F487" s="85" t="s">
        <v>180</v>
      </c>
    </row>
    <row r="488" spans="1:6" x14ac:dyDescent="0.25">
      <c r="A488" s="85" t="s">
        <v>2468</v>
      </c>
      <c r="B488" s="79" t="s">
        <v>2115</v>
      </c>
      <c r="C488" s="89" t="s">
        <v>2458</v>
      </c>
      <c r="D488" s="97" t="s">
        <v>2460</v>
      </c>
      <c r="E488" s="86" t="s">
        <v>1897</v>
      </c>
      <c r="F488" s="85" t="s">
        <v>180</v>
      </c>
    </row>
    <row r="489" spans="1:6" x14ac:dyDescent="0.25">
      <c r="A489" s="85" t="s">
        <v>2469</v>
      </c>
      <c r="B489" s="79" t="s">
        <v>2115</v>
      </c>
      <c r="C489" s="89" t="s">
        <v>2458</v>
      </c>
      <c r="D489" s="97" t="s">
        <v>2460</v>
      </c>
      <c r="E489" s="86" t="s">
        <v>2470</v>
      </c>
      <c r="F489" s="85" t="s">
        <v>1713</v>
      </c>
    </row>
    <row r="490" spans="1:6" x14ac:dyDescent="0.25">
      <c r="A490" s="85" t="s">
        <v>2471</v>
      </c>
      <c r="B490" s="79" t="s">
        <v>2115</v>
      </c>
      <c r="C490" s="89" t="s">
        <v>2458</v>
      </c>
      <c r="D490" s="97" t="s">
        <v>2460</v>
      </c>
      <c r="E490" s="86" t="s">
        <v>2472</v>
      </c>
      <c r="F490" s="85" t="s">
        <v>1713</v>
      </c>
    </row>
    <row r="491" spans="1:6" x14ac:dyDescent="0.25">
      <c r="A491" s="85" t="s">
        <v>2473</v>
      </c>
      <c r="B491" s="79" t="s">
        <v>2115</v>
      </c>
      <c r="C491" s="89" t="s">
        <v>2458</v>
      </c>
      <c r="D491" s="97" t="s">
        <v>2460</v>
      </c>
      <c r="E491" s="86" t="s">
        <v>2474</v>
      </c>
      <c r="F491" s="85" t="s">
        <v>1713</v>
      </c>
    </row>
    <row r="492" spans="1:6" x14ac:dyDescent="0.25">
      <c r="A492" s="85" t="s">
        <v>2475</v>
      </c>
      <c r="B492" s="79" t="s">
        <v>2115</v>
      </c>
      <c r="C492" s="89" t="s">
        <v>2458</v>
      </c>
      <c r="D492" s="97" t="s">
        <v>2460</v>
      </c>
      <c r="E492" s="86" t="s">
        <v>2476</v>
      </c>
      <c r="F492" s="85" t="s">
        <v>180</v>
      </c>
    </row>
    <row r="493" spans="1:6" x14ac:dyDescent="0.25">
      <c r="A493" s="85" t="s">
        <v>2477</v>
      </c>
      <c r="B493" s="79" t="s">
        <v>2115</v>
      </c>
      <c r="C493" s="89" t="s">
        <v>2458</v>
      </c>
      <c r="D493" s="97" t="s">
        <v>2460</v>
      </c>
      <c r="E493" s="86" t="s">
        <v>2478</v>
      </c>
      <c r="F493" s="85" t="s">
        <v>1713</v>
      </c>
    </row>
    <row r="494" spans="1:6" x14ac:dyDescent="0.25">
      <c r="A494" s="85" t="s">
        <v>2479</v>
      </c>
      <c r="B494" s="79" t="s">
        <v>2115</v>
      </c>
      <c r="C494" s="89" t="s">
        <v>2458</v>
      </c>
      <c r="D494" s="97" t="s">
        <v>2460</v>
      </c>
      <c r="E494" s="86" t="s">
        <v>2480</v>
      </c>
      <c r="F494" s="85" t="s">
        <v>1688</v>
      </c>
    </row>
    <row r="495" spans="1:6" x14ac:dyDescent="0.25">
      <c r="A495" s="85" t="s">
        <v>2481</v>
      </c>
      <c r="B495" s="79" t="s">
        <v>2115</v>
      </c>
      <c r="C495" s="89" t="s">
        <v>2458</v>
      </c>
      <c r="D495" s="97" t="s">
        <v>2460</v>
      </c>
      <c r="E495" s="86" t="s">
        <v>2482</v>
      </c>
      <c r="F495" s="85" t="s">
        <v>180</v>
      </c>
    </row>
    <row r="496" spans="1:6" x14ac:dyDescent="0.25">
      <c r="A496" s="85" t="s">
        <v>2483</v>
      </c>
      <c r="B496" s="79" t="s">
        <v>2115</v>
      </c>
      <c r="C496" s="89" t="s">
        <v>2458</v>
      </c>
      <c r="D496" s="97" t="s">
        <v>2460</v>
      </c>
      <c r="E496" s="86" t="s">
        <v>2484</v>
      </c>
      <c r="F496" s="85" t="s">
        <v>180</v>
      </c>
    </row>
    <row r="497" spans="1:6" x14ac:dyDescent="0.2">
      <c r="A497" s="96" t="s">
        <v>2485</v>
      </c>
      <c r="B497" s="79" t="s">
        <v>2115</v>
      </c>
      <c r="C497" s="89" t="s">
        <v>2458</v>
      </c>
      <c r="D497" s="97" t="s">
        <v>2486</v>
      </c>
      <c r="E497" s="97"/>
      <c r="F497" s="101"/>
    </row>
    <row r="498" spans="1:6" x14ac:dyDescent="0.25">
      <c r="A498" s="85" t="s">
        <v>2487</v>
      </c>
      <c r="B498" s="79" t="s">
        <v>2115</v>
      </c>
      <c r="C498" s="89" t="s">
        <v>2458</v>
      </c>
      <c r="D498" s="97" t="s">
        <v>2486</v>
      </c>
      <c r="E498" s="86" t="s">
        <v>2488</v>
      </c>
      <c r="F498" s="85" t="s">
        <v>1713</v>
      </c>
    </row>
    <row r="499" spans="1:6" x14ac:dyDescent="0.25">
      <c r="A499" s="85" t="s">
        <v>2489</v>
      </c>
      <c r="B499" s="79" t="s">
        <v>2115</v>
      </c>
      <c r="C499" s="89" t="s">
        <v>2458</v>
      </c>
      <c r="D499" s="97" t="s">
        <v>2486</v>
      </c>
      <c r="E499" s="86" t="s">
        <v>2490</v>
      </c>
      <c r="F499" s="85" t="s">
        <v>1713</v>
      </c>
    </row>
    <row r="500" spans="1:6" x14ac:dyDescent="0.25">
      <c r="A500" s="85" t="s">
        <v>2491</v>
      </c>
      <c r="B500" s="79" t="s">
        <v>2115</v>
      </c>
      <c r="C500" s="89" t="s">
        <v>2458</v>
      </c>
      <c r="D500" s="97" t="s">
        <v>2486</v>
      </c>
      <c r="E500" s="86" t="s">
        <v>2492</v>
      </c>
      <c r="F500" s="85" t="s">
        <v>1713</v>
      </c>
    </row>
    <row r="501" spans="1:6" x14ac:dyDescent="0.25">
      <c r="A501" s="85" t="s">
        <v>2493</v>
      </c>
      <c r="B501" s="79" t="s">
        <v>2115</v>
      </c>
      <c r="C501" s="89" t="s">
        <v>2458</v>
      </c>
      <c r="D501" s="97" t="s">
        <v>2486</v>
      </c>
      <c r="E501" s="86" t="s">
        <v>2494</v>
      </c>
      <c r="F501" s="85" t="s">
        <v>191</v>
      </c>
    </row>
    <row r="502" spans="1:6" x14ac:dyDescent="0.25">
      <c r="A502" s="88" t="s">
        <v>2495</v>
      </c>
      <c r="B502" s="79" t="s">
        <v>2115</v>
      </c>
      <c r="C502" s="89" t="s">
        <v>2496</v>
      </c>
      <c r="D502" s="89"/>
      <c r="E502" s="89"/>
      <c r="F502" s="89"/>
    </row>
    <row r="503" spans="1:6" x14ac:dyDescent="0.2">
      <c r="A503" s="96" t="s">
        <v>2497</v>
      </c>
      <c r="B503" s="79" t="s">
        <v>2115</v>
      </c>
      <c r="C503" s="89" t="s">
        <v>2496</v>
      </c>
      <c r="D503" s="97" t="s">
        <v>2498</v>
      </c>
      <c r="E503" s="97"/>
      <c r="F503" s="101"/>
    </row>
    <row r="504" spans="1:6" x14ac:dyDescent="0.25">
      <c r="A504" s="85" t="s">
        <v>2499</v>
      </c>
      <c r="B504" s="79" t="s">
        <v>2115</v>
      </c>
      <c r="C504" s="89" t="s">
        <v>2496</v>
      </c>
      <c r="D504" s="97" t="s">
        <v>2498</v>
      </c>
      <c r="E504" s="86" t="s">
        <v>2500</v>
      </c>
      <c r="F504" s="85" t="s">
        <v>2501</v>
      </c>
    </row>
    <row r="505" spans="1:6" x14ac:dyDescent="0.25">
      <c r="A505" s="85" t="s">
        <v>2502</v>
      </c>
      <c r="B505" s="79" t="s">
        <v>2115</v>
      </c>
      <c r="C505" s="89" t="s">
        <v>2496</v>
      </c>
      <c r="D505" s="97" t="s">
        <v>2498</v>
      </c>
      <c r="E505" s="86" t="s">
        <v>2503</v>
      </c>
      <c r="F505" s="85" t="s">
        <v>2501</v>
      </c>
    </row>
    <row r="506" spans="1:6" x14ac:dyDescent="0.25">
      <c r="A506" s="85" t="s">
        <v>2504</v>
      </c>
      <c r="B506" s="79" t="s">
        <v>2115</v>
      </c>
      <c r="C506" s="89" t="s">
        <v>2496</v>
      </c>
      <c r="D506" s="97" t="s">
        <v>2498</v>
      </c>
      <c r="E506" s="86" t="s">
        <v>2505</v>
      </c>
      <c r="F506" s="85" t="s">
        <v>2506</v>
      </c>
    </row>
    <row r="507" spans="1:6" x14ac:dyDescent="0.25">
      <c r="A507" s="85" t="s">
        <v>2507</v>
      </c>
      <c r="B507" s="79" t="s">
        <v>2115</v>
      </c>
      <c r="C507" s="89" t="s">
        <v>2496</v>
      </c>
      <c r="D507" s="97" t="s">
        <v>2498</v>
      </c>
      <c r="E507" s="86" t="s">
        <v>2508</v>
      </c>
      <c r="F507" s="95" t="s">
        <v>2506</v>
      </c>
    </row>
    <row r="508" spans="1:6" x14ac:dyDescent="0.25">
      <c r="A508" s="85" t="s">
        <v>2509</v>
      </c>
      <c r="B508" s="79" t="s">
        <v>2115</v>
      </c>
      <c r="C508" s="89" t="s">
        <v>2496</v>
      </c>
      <c r="D508" s="97" t="s">
        <v>2498</v>
      </c>
      <c r="E508" s="86" t="s">
        <v>2510</v>
      </c>
      <c r="F508" s="85" t="s">
        <v>2511</v>
      </c>
    </row>
    <row r="509" spans="1:6" x14ac:dyDescent="0.2">
      <c r="A509" s="85" t="s">
        <v>2512</v>
      </c>
      <c r="B509" s="79" t="s">
        <v>2115</v>
      </c>
      <c r="C509" s="89" t="s">
        <v>2496</v>
      </c>
      <c r="D509" s="97" t="s">
        <v>2498</v>
      </c>
      <c r="E509" s="86" t="s">
        <v>2513</v>
      </c>
      <c r="F509" s="92"/>
    </row>
    <row r="510" spans="1:6" x14ac:dyDescent="0.25">
      <c r="A510" s="85" t="s">
        <v>2514</v>
      </c>
      <c r="B510" s="79" t="s">
        <v>2115</v>
      </c>
      <c r="C510" s="89" t="s">
        <v>2496</v>
      </c>
      <c r="D510" s="97" t="s">
        <v>2498</v>
      </c>
      <c r="E510" s="86" t="s">
        <v>2515</v>
      </c>
      <c r="F510" s="85" t="s">
        <v>2501</v>
      </c>
    </row>
    <row r="511" spans="1:6" x14ac:dyDescent="0.25">
      <c r="A511" s="85" t="s">
        <v>2516</v>
      </c>
      <c r="B511" s="79" t="s">
        <v>2115</v>
      </c>
      <c r="C511" s="89" t="s">
        <v>2496</v>
      </c>
      <c r="D511" s="97" t="s">
        <v>2498</v>
      </c>
      <c r="E511" s="86" t="s">
        <v>2517</v>
      </c>
      <c r="F511" s="85" t="s">
        <v>2518</v>
      </c>
    </row>
    <row r="512" spans="1:6" x14ac:dyDescent="0.25">
      <c r="A512" s="85" t="s">
        <v>2519</v>
      </c>
      <c r="B512" s="79" t="s">
        <v>2115</v>
      </c>
      <c r="C512" s="89" t="s">
        <v>2496</v>
      </c>
      <c r="D512" s="97" t="s">
        <v>2498</v>
      </c>
      <c r="E512" s="86" t="s">
        <v>2520</v>
      </c>
      <c r="F512" s="85" t="s">
        <v>2506</v>
      </c>
    </row>
    <row r="513" spans="1:6" x14ac:dyDescent="0.25">
      <c r="A513" s="85" t="s">
        <v>2521</v>
      </c>
      <c r="B513" s="79" t="s">
        <v>2115</v>
      </c>
      <c r="C513" s="89" t="s">
        <v>2496</v>
      </c>
      <c r="D513" s="97" t="s">
        <v>2498</v>
      </c>
      <c r="E513" s="86" t="s">
        <v>2522</v>
      </c>
      <c r="F513" s="85" t="s">
        <v>2523</v>
      </c>
    </row>
    <row r="514" spans="1:6" x14ac:dyDescent="0.25">
      <c r="A514" s="85" t="s">
        <v>2524</v>
      </c>
      <c r="B514" s="79" t="s">
        <v>2115</v>
      </c>
      <c r="C514" s="89" t="s">
        <v>2496</v>
      </c>
      <c r="D514" s="97" t="s">
        <v>2498</v>
      </c>
      <c r="E514" s="86" t="s">
        <v>2525</v>
      </c>
      <c r="F514" s="85" t="s">
        <v>2501</v>
      </c>
    </row>
    <row r="515" spans="1:6" x14ac:dyDescent="0.25">
      <c r="A515" s="85" t="s">
        <v>2526</v>
      </c>
      <c r="B515" s="79" t="s">
        <v>2115</v>
      </c>
      <c r="C515" s="89" t="s">
        <v>2496</v>
      </c>
      <c r="D515" s="97" t="s">
        <v>2498</v>
      </c>
      <c r="E515" s="86" t="s">
        <v>2527</v>
      </c>
      <c r="F515" s="85" t="s">
        <v>2528</v>
      </c>
    </row>
    <row r="516" spans="1:6" x14ac:dyDescent="0.25">
      <c r="A516" s="85" t="s">
        <v>2529</v>
      </c>
      <c r="B516" s="79" t="s">
        <v>2115</v>
      </c>
      <c r="C516" s="89" t="s">
        <v>2496</v>
      </c>
      <c r="D516" s="97" t="s">
        <v>2498</v>
      </c>
      <c r="E516" s="86" t="s">
        <v>2530</v>
      </c>
      <c r="F516" s="85" t="s">
        <v>2501</v>
      </c>
    </row>
    <row r="517" spans="1:6" x14ac:dyDescent="0.25">
      <c r="A517" s="85" t="s">
        <v>2531</v>
      </c>
      <c r="B517" s="79" t="s">
        <v>2115</v>
      </c>
      <c r="C517" s="89" t="s">
        <v>2496</v>
      </c>
      <c r="D517" s="97" t="s">
        <v>2498</v>
      </c>
      <c r="E517" s="86" t="s">
        <v>2532</v>
      </c>
      <c r="F517" s="85" t="s">
        <v>2501</v>
      </c>
    </row>
    <row r="518" spans="1:6" x14ac:dyDescent="0.25">
      <c r="A518" s="85" t="s">
        <v>2533</v>
      </c>
      <c r="B518" s="79" t="s">
        <v>2115</v>
      </c>
      <c r="C518" s="89" t="s">
        <v>2496</v>
      </c>
      <c r="D518" s="97" t="s">
        <v>2498</v>
      </c>
      <c r="E518" s="86" t="s">
        <v>2534</v>
      </c>
      <c r="F518" s="85" t="s">
        <v>2535</v>
      </c>
    </row>
    <row r="519" spans="1:6" x14ac:dyDescent="0.25">
      <c r="A519" s="85" t="s">
        <v>2536</v>
      </c>
      <c r="B519" s="79" t="s">
        <v>2115</v>
      </c>
      <c r="C519" s="89" t="s">
        <v>2496</v>
      </c>
      <c r="D519" s="97" t="s">
        <v>2498</v>
      </c>
      <c r="E519" s="86" t="s">
        <v>2537</v>
      </c>
      <c r="F519" s="85" t="s">
        <v>2511</v>
      </c>
    </row>
    <row r="520" spans="1:6" x14ac:dyDescent="0.25">
      <c r="A520" s="85" t="s">
        <v>2538</v>
      </c>
      <c r="B520" s="79" t="s">
        <v>2115</v>
      </c>
      <c r="C520" s="89" t="s">
        <v>2496</v>
      </c>
      <c r="D520" s="97" t="s">
        <v>2498</v>
      </c>
      <c r="E520" s="86" t="s">
        <v>2539</v>
      </c>
      <c r="F520" s="85" t="s">
        <v>2518</v>
      </c>
    </row>
    <row r="521" spans="1:6" x14ac:dyDescent="0.25">
      <c r="A521" s="85" t="s">
        <v>2540</v>
      </c>
      <c r="B521" s="79" t="s">
        <v>2115</v>
      </c>
      <c r="C521" s="89" t="s">
        <v>2496</v>
      </c>
      <c r="D521" s="97" t="s">
        <v>2498</v>
      </c>
      <c r="E521" s="86" t="s">
        <v>2541</v>
      </c>
      <c r="F521" s="85" t="s">
        <v>2535</v>
      </c>
    </row>
    <row r="522" spans="1:6" x14ac:dyDescent="0.25">
      <c r="A522" s="85" t="s">
        <v>2542</v>
      </c>
      <c r="B522" s="79" t="s">
        <v>2115</v>
      </c>
      <c r="C522" s="89" t="s">
        <v>2496</v>
      </c>
      <c r="D522" s="97" t="s">
        <v>2498</v>
      </c>
      <c r="E522" s="86" t="s">
        <v>2543</v>
      </c>
      <c r="F522" s="85" t="s">
        <v>2535</v>
      </c>
    </row>
    <row r="523" spans="1:6" x14ac:dyDescent="0.25">
      <c r="A523" s="85" t="s">
        <v>2544</v>
      </c>
      <c r="B523" s="79" t="s">
        <v>2115</v>
      </c>
      <c r="C523" s="89" t="s">
        <v>2496</v>
      </c>
      <c r="D523" s="97" t="s">
        <v>2498</v>
      </c>
      <c r="E523" s="86" t="s">
        <v>2545</v>
      </c>
      <c r="F523" s="85" t="s">
        <v>2501</v>
      </c>
    </row>
    <row r="524" spans="1:6" x14ac:dyDescent="0.25">
      <c r="A524" s="85" t="s">
        <v>2546</v>
      </c>
      <c r="B524" s="79" t="s">
        <v>2115</v>
      </c>
      <c r="C524" s="89" t="s">
        <v>2496</v>
      </c>
      <c r="D524" s="97" t="s">
        <v>2498</v>
      </c>
      <c r="E524" s="86" t="s">
        <v>2547</v>
      </c>
      <c r="F524" s="85" t="s">
        <v>2511</v>
      </c>
    </row>
    <row r="525" spans="1:6" x14ac:dyDescent="0.25">
      <c r="A525" s="85" t="s">
        <v>2548</v>
      </c>
      <c r="B525" s="79" t="s">
        <v>2115</v>
      </c>
      <c r="C525" s="89" t="s">
        <v>2496</v>
      </c>
      <c r="D525" s="97" t="s">
        <v>2498</v>
      </c>
      <c r="E525" s="86" t="s">
        <v>2549</v>
      </c>
      <c r="F525" s="85" t="s">
        <v>2511</v>
      </c>
    </row>
    <row r="526" spans="1:6" x14ac:dyDescent="0.25">
      <c r="A526" s="85" t="s">
        <v>2550</v>
      </c>
      <c r="B526" s="79" t="s">
        <v>2115</v>
      </c>
      <c r="C526" s="89" t="s">
        <v>2496</v>
      </c>
      <c r="D526" s="97" t="s">
        <v>2498</v>
      </c>
      <c r="E526" s="86" t="s">
        <v>2551</v>
      </c>
      <c r="F526" s="85" t="s">
        <v>2150</v>
      </c>
    </row>
    <row r="527" spans="1:6" x14ac:dyDescent="0.2">
      <c r="A527" s="96" t="s">
        <v>2552</v>
      </c>
      <c r="B527" s="79" t="s">
        <v>2115</v>
      </c>
      <c r="C527" s="89" t="s">
        <v>2496</v>
      </c>
      <c r="D527" s="97" t="s">
        <v>2553</v>
      </c>
      <c r="E527" s="97"/>
      <c r="F527" s="101"/>
    </row>
    <row r="528" spans="1:6" x14ac:dyDescent="0.25">
      <c r="A528" s="85" t="s">
        <v>2554</v>
      </c>
      <c r="B528" s="79" t="s">
        <v>2115</v>
      </c>
      <c r="C528" s="89" t="s">
        <v>2496</v>
      </c>
      <c r="D528" s="97" t="s">
        <v>2553</v>
      </c>
      <c r="E528" s="86" t="s">
        <v>2555</v>
      </c>
      <c r="F528" s="85" t="s">
        <v>2556</v>
      </c>
    </row>
    <row r="529" spans="1:6" x14ac:dyDescent="0.25">
      <c r="A529" s="85" t="s">
        <v>2557</v>
      </c>
      <c r="B529" s="79" t="s">
        <v>2115</v>
      </c>
      <c r="C529" s="89" t="s">
        <v>2496</v>
      </c>
      <c r="D529" s="97" t="s">
        <v>2553</v>
      </c>
      <c r="E529" s="86" t="s">
        <v>2558</v>
      </c>
      <c r="F529" s="85" t="s">
        <v>2365</v>
      </c>
    </row>
    <row r="530" spans="1:6" x14ac:dyDescent="0.25">
      <c r="A530" s="85" t="s">
        <v>2559</v>
      </c>
      <c r="B530" s="79" t="s">
        <v>2115</v>
      </c>
      <c r="C530" s="89" t="s">
        <v>2496</v>
      </c>
      <c r="D530" s="97" t="s">
        <v>2553</v>
      </c>
      <c r="E530" s="86" t="s">
        <v>2560</v>
      </c>
      <c r="F530" s="85" t="s">
        <v>2365</v>
      </c>
    </row>
    <row r="531" spans="1:6" x14ac:dyDescent="0.25">
      <c r="A531" s="85" t="s">
        <v>2561</v>
      </c>
      <c r="B531" s="79" t="s">
        <v>2115</v>
      </c>
      <c r="C531" s="89" t="s">
        <v>2496</v>
      </c>
      <c r="D531" s="97" t="s">
        <v>2553</v>
      </c>
      <c r="E531" s="86" t="s">
        <v>2562</v>
      </c>
      <c r="F531" s="85" t="s">
        <v>2365</v>
      </c>
    </row>
    <row r="532" spans="1:6" x14ac:dyDescent="0.25">
      <c r="A532" s="85" t="s">
        <v>2563</v>
      </c>
      <c r="B532" s="79" t="s">
        <v>2115</v>
      </c>
      <c r="C532" s="89" t="s">
        <v>2496</v>
      </c>
      <c r="D532" s="97" t="s">
        <v>2553</v>
      </c>
      <c r="E532" s="86" t="s">
        <v>2564</v>
      </c>
      <c r="F532" s="85" t="s">
        <v>2350</v>
      </c>
    </row>
    <row r="533" spans="1:6" x14ac:dyDescent="0.25">
      <c r="A533" s="85" t="s">
        <v>2565</v>
      </c>
      <c r="B533" s="79" t="s">
        <v>2115</v>
      </c>
      <c r="C533" s="89" t="s">
        <v>2496</v>
      </c>
      <c r="D533" s="97" t="s">
        <v>2553</v>
      </c>
      <c r="E533" s="86" t="s">
        <v>2566</v>
      </c>
      <c r="F533" s="85" t="s">
        <v>2567</v>
      </c>
    </row>
    <row r="534" spans="1:6" x14ac:dyDescent="0.25">
      <c r="A534" s="85" t="s">
        <v>2568</v>
      </c>
      <c r="B534" s="79" t="s">
        <v>2115</v>
      </c>
      <c r="C534" s="89" t="s">
        <v>2496</v>
      </c>
      <c r="D534" s="97" t="s">
        <v>2553</v>
      </c>
      <c r="E534" s="86" t="s">
        <v>2569</v>
      </c>
      <c r="F534" s="85" t="s">
        <v>2238</v>
      </c>
    </row>
    <row r="535" spans="1:6" x14ac:dyDescent="0.25">
      <c r="A535" s="85" t="s">
        <v>2570</v>
      </c>
      <c r="B535" s="79" t="s">
        <v>2115</v>
      </c>
      <c r="C535" s="89" t="s">
        <v>2496</v>
      </c>
      <c r="D535" s="97" t="s">
        <v>2553</v>
      </c>
      <c r="E535" s="86" t="s">
        <v>2571</v>
      </c>
      <c r="F535" s="85" t="s">
        <v>2556</v>
      </c>
    </row>
    <row r="536" spans="1:6" x14ac:dyDescent="0.25">
      <c r="A536" s="85" t="s">
        <v>2572</v>
      </c>
      <c r="B536" s="79" t="s">
        <v>2115</v>
      </c>
      <c r="C536" s="89" t="s">
        <v>2496</v>
      </c>
      <c r="D536" s="97" t="s">
        <v>2553</v>
      </c>
      <c r="E536" s="86" t="s">
        <v>2573</v>
      </c>
      <c r="F536" s="85" t="s">
        <v>2556</v>
      </c>
    </row>
    <row r="537" spans="1:6" x14ac:dyDescent="0.2">
      <c r="A537" s="96" t="s">
        <v>2574</v>
      </c>
      <c r="B537" s="79" t="s">
        <v>2115</v>
      </c>
      <c r="C537" s="89" t="s">
        <v>2496</v>
      </c>
      <c r="D537" s="97" t="s">
        <v>2575</v>
      </c>
      <c r="E537" s="97"/>
      <c r="F537" s="101"/>
    </row>
    <row r="538" spans="1:6" x14ac:dyDescent="0.25">
      <c r="A538" s="85" t="s">
        <v>2576</v>
      </c>
      <c r="B538" s="79" t="s">
        <v>2115</v>
      </c>
      <c r="C538" s="89" t="s">
        <v>2496</v>
      </c>
      <c r="D538" s="97" t="s">
        <v>2575</v>
      </c>
      <c r="E538" s="86" t="s">
        <v>2577</v>
      </c>
      <c r="F538" s="85" t="s">
        <v>2578</v>
      </c>
    </row>
    <row r="539" spans="1:6" x14ac:dyDescent="0.25">
      <c r="A539" s="85" t="s">
        <v>2579</v>
      </c>
      <c r="B539" s="79" t="s">
        <v>2115</v>
      </c>
      <c r="C539" s="89" t="s">
        <v>2496</v>
      </c>
      <c r="D539" s="97" t="s">
        <v>2575</v>
      </c>
      <c r="E539" s="86" t="s">
        <v>2580</v>
      </c>
      <c r="F539" s="85" t="s">
        <v>2581</v>
      </c>
    </row>
    <row r="540" spans="1:6" x14ac:dyDescent="0.25">
      <c r="A540" s="85" t="s">
        <v>2582</v>
      </c>
      <c r="B540" s="79" t="s">
        <v>2115</v>
      </c>
      <c r="C540" s="89" t="s">
        <v>2496</v>
      </c>
      <c r="D540" s="97" t="s">
        <v>2575</v>
      </c>
      <c r="E540" s="86" t="s">
        <v>2583</v>
      </c>
      <c r="F540" s="85" t="s">
        <v>2581</v>
      </c>
    </row>
    <row r="541" spans="1:6" x14ac:dyDescent="0.25">
      <c r="A541" s="85" t="s">
        <v>2584</v>
      </c>
      <c r="B541" s="79" t="s">
        <v>2115</v>
      </c>
      <c r="C541" s="89" t="s">
        <v>2496</v>
      </c>
      <c r="D541" s="97" t="s">
        <v>2575</v>
      </c>
      <c r="E541" s="86" t="s">
        <v>2585</v>
      </c>
      <c r="F541" s="85" t="s">
        <v>2586</v>
      </c>
    </row>
    <row r="542" spans="1:6" x14ac:dyDescent="0.25">
      <c r="A542" s="85" t="s">
        <v>2587</v>
      </c>
      <c r="B542" s="79" t="s">
        <v>2115</v>
      </c>
      <c r="C542" s="89" t="s">
        <v>2496</v>
      </c>
      <c r="D542" s="97" t="s">
        <v>2575</v>
      </c>
      <c r="E542" s="86" t="s">
        <v>2588</v>
      </c>
      <c r="F542" s="85" t="s">
        <v>2581</v>
      </c>
    </row>
    <row r="543" spans="1:6" x14ac:dyDescent="0.25">
      <c r="A543" s="85" t="s">
        <v>2589</v>
      </c>
      <c r="B543" s="79" t="s">
        <v>2115</v>
      </c>
      <c r="C543" s="89" t="s">
        <v>2496</v>
      </c>
      <c r="D543" s="97" t="s">
        <v>2575</v>
      </c>
      <c r="E543" s="86" t="s">
        <v>2590</v>
      </c>
      <c r="F543" s="85" t="s">
        <v>2591</v>
      </c>
    </row>
    <row r="544" spans="1:6" x14ac:dyDescent="0.25">
      <c r="A544" s="85" t="s">
        <v>2592</v>
      </c>
      <c r="B544" s="79" t="s">
        <v>2115</v>
      </c>
      <c r="C544" s="89" t="s">
        <v>2496</v>
      </c>
      <c r="D544" s="97" t="s">
        <v>2575</v>
      </c>
      <c r="E544" s="86" t="s">
        <v>2593</v>
      </c>
      <c r="F544" s="85" t="s">
        <v>2581</v>
      </c>
    </row>
    <row r="545" spans="1:6" x14ac:dyDescent="0.2">
      <c r="A545" s="96" t="s">
        <v>2594</v>
      </c>
      <c r="B545" s="79" t="s">
        <v>2115</v>
      </c>
      <c r="C545" s="89" t="s">
        <v>2496</v>
      </c>
      <c r="D545" s="97" t="s">
        <v>2595</v>
      </c>
      <c r="E545" s="97"/>
      <c r="F545" s="101"/>
    </row>
    <row r="546" spans="1:6" x14ac:dyDescent="0.25">
      <c r="A546" s="85" t="s">
        <v>2596</v>
      </c>
      <c r="B546" s="79" t="s">
        <v>2115</v>
      </c>
      <c r="C546" s="89" t="s">
        <v>2496</v>
      </c>
      <c r="D546" s="97" t="s">
        <v>2595</v>
      </c>
      <c r="E546" s="86" t="s">
        <v>2597</v>
      </c>
      <c r="F546" s="85" t="s">
        <v>2307</v>
      </c>
    </row>
    <row r="547" spans="1:6" x14ac:dyDescent="0.25">
      <c r="A547" s="85" t="s">
        <v>2598</v>
      </c>
      <c r="B547" s="79" t="s">
        <v>2115</v>
      </c>
      <c r="C547" s="89" t="s">
        <v>2496</v>
      </c>
      <c r="D547" s="97" t="s">
        <v>2595</v>
      </c>
      <c r="E547" s="86" t="s">
        <v>2599</v>
      </c>
      <c r="F547" s="85" t="s">
        <v>2307</v>
      </c>
    </row>
    <row r="548" spans="1:6" x14ac:dyDescent="0.25">
      <c r="A548" s="85" t="s">
        <v>2600</v>
      </c>
      <c r="B548" s="79" t="s">
        <v>2115</v>
      </c>
      <c r="C548" s="89" t="s">
        <v>2496</v>
      </c>
      <c r="D548" s="97" t="s">
        <v>2595</v>
      </c>
      <c r="E548" s="86" t="s">
        <v>2601</v>
      </c>
      <c r="F548" s="85" t="s">
        <v>2518</v>
      </c>
    </row>
    <row r="549" spans="1:6" x14ac:dyDescent="0.25">
      <c r="A549" s="85" t="s">
        <v>2602</v>
      </c>
      <c r="B549" s="79" t="s">
        <v>2115</v>
      </c>
      <c r="C549" s="89" t="s">
        <v>2496</v>
      </c>
      <c r="D549" s="97" t="s">
        <v>2595</v>
      </c>
      <c r="E549" s="86" t="s">
        <v>2603</v>
      </c>
      <c r="F549" s="85" t="s">
        <v>2506</v>
      </c>
    </row>
    <row r="550" spans="1:6" x14ac:dyDescent="0.25">
      <c r="A550" s="85" t="s">
        <v>2604</v>
      </c>
      <c r="B550" s="79" t="s">
        <v>2115</v>
      </c>
      <c r="C550" s="89" t="s">
        <v>2496</v>
      </c>
      <c r="D550" s="97" t="s">
        <v>2595</v>
      </c>
      <c r="E550" s="86" t="s">
        <v>2605</v>
      </c>
      <c r="F550" s="85" t="s">
        <v>2518</v>
      </c>
    </row>
    <row r="551" spans="1:6" x14ac:dyDescent="0.25">
      <c r="A551" s="85" t="s">
        <v>2606</v>
      </c>
      <c r="B551" s="79" t="s">
        <v>2115</v>
      </c>
      <c r="C551" s="89" t="s">
        <v>2496</v>
      </c>
      <c r="D551" s="97" t="s">
        <v>2595</v>
      </c>
      <c r="E551" s="86" t="s">
        <v>2607</v>
      </c>
      <c r="F551" s="85" t="s">
        <v>2518</v>
      </c>
    </row>
    <row r="552" spans="1:6" x14ac:dyDescent="0.25">
      <c r="A552" s="85" t="s">
        <v>2608</v>
      </c>
      <c r="B552" s="79" t="s">
        <v>2115</v>
      </c>
      <c r="C552" s="89" t="s">
        <v>2496</v>
      </c>
      <c r="D552" s="97" t="s">
        <v>2595</v>
      </c>
      <c r="E552" s="86" t="s">
        <v>2609</v>
      </c>
      <c r="F552" s="85" t="s">
        <v>2238</v>
      </c>
    </row>
    <row r="553" spans="1:6" x14ac:dyDescent="0.25">
      <c r="A553" s="85" t="s">
        <v>2610</v>
      </c>
      <c r="B553" s="79" t="s">
        <v>2115</v>
      </c>
      <c r="C553" s="89" t="s">
        <v>2496</v>
      </c>
      <c r="D553" s="97" t="s">
        <v>2595</v>
      </c>
      <c r="E553" s="86" t="s">
        <v>2611</v>
      </c>
      <c r="F553" s="85" t="s">
        <v>2179</v>
      </c>
    </row>
    <row r="554" spans="1:6" x14ac:dyDescent="0.25">
      <c r="A554" s="85" t="s">
        <v>2612</v>
      </c>
      <c r="B554" s="79" t="s">
        <v>2115</v>
      </c>
      <c r="C554" s="89" t="s">
        <v>2496</v>
      </c>
      <c r="D554" s="97" t="s">
        <v>2595</v>
      </c>
      <c r="E554" s="86" t="s">
        <v>2613</v>
      </c>
      <c r="F554" s="85" t="s">
        <v>2208</v>
      </c>
    </row>
    <row r="555" spans="1:6" x14ac:dyDescent="0.25">
      <c r="A555" s="85" t="s">
        <v>2614</v>
      </c>
      <c r="B555" s="79" t="s">
        <v>2115</v>
      </c>
      <c r="C555" s="89" t="s">
        <v>2496</v>
      </c>
      <c r="D555" s="97" t="s">
        <v>2595</v>
      </c>
      <c r="E555" s="86" t="s">
        <v>2132</v>
      </c>
      <c r="F555" s="85" t="s">
        <v>2150</v>
      </c>
    </row>
    <row r="556" spans="1:6" x14ac:dyDescent="0.25">
      <c r="A556" s="85" t="s">
        <v>2615</v>
      </c>
      <c r="B556" s="79" t="s">
        <v>2115</v>
      </c>
      <c r="C556" s="89" t="s">
        <v>2496</v>
      </c>
      <c r="D556" s="97" t="s">
        <v>2595</v>
      </c>
      <c r="E556" s="86" t="s">
        <v>2616</v>
      </c>
      <c r="F556" s="85" t="s">
        <v>2518</v>
      </c>
    </row>
    <row r="557" spans="1:6" x14ac:dyDescent="0.2">
      <c r="A557" s="96" t="s">
        <v>2617</v>
      </c>
      <c r="B557" s="79" t="s">
        <v>2115</v>
      </c>
      <c r="C557" s="89" t="s">
        <v>2496</v>
      </c>
      <c r="D557" s="97" t="s">
        <v>2618</v>
      </c>
      <c r="E557" s="97"/>
      <c r="F557" s="101"/>
    </row>
    <row r="558" spans="1:6" x14ac:dyDescent="0.25">
      <c r="A558" s="85" t="s">
        <v>2619</v>
      </c>
      <c r="B558" s="79" t="s">
        <v>2115</v>
      </c>
      <c r="C558" s="89" t="s">
        <v>2496</v>
      </c>
      <c r="D558" s="97" t="s">
        <v>2618</v>
      </c>
      <c r="E558" s="86" t="s">
        <v>2620</v>
      </c>
      <c r="F558" s="85" t="s">
        <v>2359</v>
      </c>
    </row>
    <row r="559" spans="1:6" x14ac:dyDescent="0.25">
      <c r="A559" s="85" t="s">
        <v>2621</v>
      </c>
      <c r="B559" s="79" t="s">
        <v>2115</v>
      </c>
      <c r="C559" s="89" t="s">
        <v>2496</v>
      </c>
      <c r="D559" s="97" t="s">
        <v>2618</v>
      </c>
      <c r="E559" s="86" t="s">
        <v>2622</v>
      </c>
      <c r="F559" s="85" t="s">
        <v>2289</v>
      </c>
    </row>
    <row r="560" spans="1:6" x14ac:dyDescent="0.2">
      <c r="A560" s="85" t="s">
        <v>2623</v>
      </c>
      <c r="B560" s="79" t="s">
        <v>2115</v>
      </c>
      <c r="C560" s="89" t="s">
        <v>2496</v>
      </c>
      <c r="D560" s="97" t="s">
        <v>2618</v>
      </c>
      <c r="E560" s="86" t="s">
        <v>2624</v>
      </c>
      <c r="F560" s="92"/>
    </row>
    <row r="561" spans="1:6" x14ac:dyDescent="0.25">
      <c r="A561" s="85" t="s">
        <v>2625</v>
      </c>
      <c r="B561" s="79" t="s">
        <v>2115</v>
      </c>
      <c r="C561" s="89" t="s">
        <v>2496</v>
      </c>
      <c r="D561" s="97" t="s">
        <v>2618</v>
      </c>
      <c r="E561" s="86" t="s">
        <v>2626</v>
      </c>
      <c r="F561" s="85" t="s">
        <v>2627</v>
      </c>
    </row>
    <row r="562" spans="1:6" x14ac:dyDescent="0.25">
      <c r="A562" s="85" t="s">
        <v>2628</v>
      </c>
      <c r="B562" s="79" t="s">
        <v>2115</v>
      </c>
      <c r="C562" s="89" t="s">
        <v>2496</v>
      </c>
      <c r="D562" s="97" t="s">
        <v>2618</v>
      </c>
      <c r="E562" s="86" t="s">
        <v>2629</v>
      </c>
      <c r="F562" s="85" t="s">
        <v>2350</v>
      </c>
    </row>
    <row r="563" spans="1:6" x14ac:dyDescent="0.25">
      <c r="A563" s="85" t="s">
        <v>233</v>
      </c>
      <c r="B563" s="79" t="s">
        <v>2115</v>
      </c>
      <c r="C563" s="89" t="s">
        <v>2496</v>
      </c>
      <c r="D563" s="97" t="s">
        <v>2618</v>
      </c>
      <c r="E563" s="86" t="s">
        <v>2630</v>
      </c>
      <c r="F563" s="85" t="s">
        <v>164</v>
      </c>
    </row>
    <row r="564" spans="1:6" x14ac:dyDescent="0.25">
      <c r="A564" s="85" t="s">
        <v>2631</v>
      </c>
      <c r="B564" s="79" t="s">
        <v>2115</v>
      </c>
      <c r="C564" s="89" t="s">
        <v>2496</v>
      </c>
      <c r="D564" s="97" t="s">
        <v>2618</v>
      </c>
      <c r="E564" s="86" t="s">
        <v>2632</v>
      </c>
      <c r="F564" s="85" t="s">
        <v>2359</v>
      </c>
    </row>
    <row r="565" spans="1:6" x14ac:dyDescent="0.25">
      <c r="A565" s="85" t="s">
        <v>2633</v>
      </c>
      <c r="B565" s="79" t="s">
        <v>2115</v>
      </c>
      <c r="C565" s="89" t="s">
        <v>2496</v>
      </c>
      <c r="D565" s="97" t="s">
        <v>2618</v>
      </c>
      <c r="E565" s="86" t="s">
        <v>2634</v>
      </c>
      <c r="F565" s="85" t="s">
        <v>2523</v>
      </c>
    </row>
    <row r="566" spans="1:6" x14ac:dyDescent="0.25">
      <c r="A566" s="85" t="s">
        <v>2635</v>
      </c>
      <c r="B566" s="79" t="s">
        <v>2115</v>
      </c>
      <c r="C566" s="89" t="s">
        <v>2496</v>
      </c>
      <c r="D566" s="97" t="s">
        <v>2618</v>
      </c>
      <c r="E566" s="86" t="s">
        <v>2636</v>
      </c>
      <c r="F566" s="85" t="s">
        <v>2179</v>
      </c>
    </row>
    <row r="567" spans="1:6" x14ac:dyDescent="0.25">
      <c r="A567" s="85" t="s">
        <v>2637</v>
      </c>
      <c r="B567" s="79" t="s">
        <v>2115</v>
      </c>
      <c r="C567" s="89" t="s">
        <v>2496</v>
      </c>
      <c r="D567" s="97" t="s">
        <v>2618</v>
      </c>
      <c r="E567" s="86" t="s">
        <v>2638</v>
      </c>
      <c r="F567" s="85" t="s">
        <v>2359</v>
      </c>
    </row>
    <row r="568" spans="1:6" x14ac:dyDescent="0.2">
      <c r="A568" s="96" t="s">
        <v>2639</v>
      </c>
      <c r="B568" s="79" t="s">
        <v>2115</v>
      </c>
      <c r="C568" s="89" t="s">
        <v>2496</v>
      </c>
      <c r="D568" s="97" t="s">
        <v>2640</v>
      </c>
      <c r="E568" s="97"/>
      <c r="F568" s="101"/>
    </row>
    <row r="569" spans="1:6" x14ac:dyDescent="0.25">
      <c r="A569" s="85" t="s">
        <v>2641</v>
      </c>
      <c r="B569" s="79" t="s">
        <v>2115</v>
      </c>
      <c r="C569" s="89" t="s">
        <v>2496</v>
      </c>
      <c r="D569" s="97" t="s">
        <v>2640</v>
      </c>
      <c r="E569" s="86" t="s">
        <v>2642</v>
      </c>
      <c r="F569" s="85" t="s">
        <v>2518</v>
      </c>
    </row>
    <row r="570" spans="1:6" x14ac:dyDescent="0.25">
      <c r="A570" s="85" t="s">
        <v>2643</v>
      </c>
      <c r="B570" s="79" t="s">
        <v>2115</v>
      </c>
      <c r="C570" s="89" t="s">
        <v>2496</v>
      </c>
      <c r="D570" s="97" t="s">
        <v>2640</v>
      </c>
      <c r="E570" s="86" t="s">
        <v>2644</v>
      </c>
      <c r="F570" s="85" t="s">
        <v>2528</v>
      </c>
    </row>
    <row r="571" spans="1:6" x14ac:dyDescent="0.25">
      <c r="A571" s="85" t="s">
        <v>2645</v>
      </c>
      <c r="B571" s="79" t="s">
        <v>2115</v>
      </c>
      <c r="C571" s="89" t="s">
        <v>2496</v>
      </c>
      <c r="D571" s="97" t="s">
        <v>2640</v>
      </c>
      <c r="E571" s="86" t="s">
        <v>2646</v>
      </c>
      <c r="F571" s="85" t="s">
        <v>2528</v>
      </c>
    </row>
    <row r="572" spans="1:6" x14ac:dyDescent="0.25">
      <c r="A572" s="85" t="s">
        <v>2647</v>
      </c>
      <c r="B572" s="79" t="s">
        <v>2115</v>
      </c>
      <c r="C572" s="89" t="s">
        <v>2496</v>
      </c>
      <c r="D572" s="97" t="s">
        <v>2640</v>
      </c>
      <c r="E572" s="86" t="s">
        <v>2648</v>
      </c>
      <c r="F572" s="85" t="s">
        <v>2649</v>
      </c>
    </row>
    <row r="573" spans="1:6" x14ac:dyDescent="0.25">
      <c r="A573" s="85" t="s">
        <v>2650</v>
      </c>
      <c r="B573" s="79" t="s">
        <v>2115</v>
      </c>
      <c r="C573" s="89" t="s">
        <v>2496</v>
      </c>
      <c r="D573" s="97" t="s">
        <v>2640</v>
      </c>
      <c r="E573" s="86" t="s">
        <v>2651</v>
      </c>
      <c r="F573" s="85" t="s">
        <v>2518</v>
      </c>
    </row>
    <row r="574" spans="1:6" x14ac:dyDescent="0.25">
      <c r="A574" s="85" t="s">
        <v>2652</v>
      </c>
      <c r="B574" s="79" t="s">
        <v>2115</v>
      </c>
      <c r="C574" s="89" t="s">
        <v>2496</v>
      </c>
      <c r="D574" s="97" t="s">
        <v>2640</v>
      </c>
      <c r="E574" s="86" t="s">
        <v>2653</v>
      </c>
      <c r="F574" s="85" t="s">
        <v>2528</v>
      </c>
    </row>
    <row r="575" spans="1:6" x14ac:dyDescent="0.25">
      <c r="A575" s="85" t="s">
        <v>2654</v>
      </c>
      <c r="B575" s="79" t="s">
        <v>2115</v>
      </c>
      <c r="C575" s="89" t="s">
        <v>2496</v>
      </c>
      <c r="D575" s="97" t="s">
        <v>2640</v>
      </c>
      <c r="E575" s="86" t="s">
        <v>2655</v>
      </c>
      <c r="F575" s="85" t="s">
        <v>2656</v>
      </c>
    </row>
    <row r="576" spans="1:6" x14ac:dyDescent="0.25">
      <c r="A576" s="85" t="s">
        <v>2657</v>
      </c>
      <c r="B576" s="79" t="s">
        <v>2115</v>
      </c>
      <c r="C576" s="89" t="s">
        <v>2496</v>
      </c>
      <c r="D576" s="97" t="s">
        <v>2640</v>
      </c>
      <c r="E576" s="86" t="s">
        <v>2658</v>
      </c>
      <c r="F576" s="85" t="s">
        <v>2528</v>
      </c>
    </row>
    <row r="577" spans="1:6" x14ac:dyDescent="0.25">
      <c r="A577" s="85" t="s">
        <v>2659</v>
      </c>
      <c r="B577" s="79" t="s">
        <v>2115</v>
      </c>
      <c r="C577" s="89" t="s">
        <v>2496</v>
      </c>
      <c r="D577" s="97" t="s">
        <v>2640</v>
      </c>
      <c r="E577" s="86" t="s">
        <v>2660</v>
      </c>
      <c r="F577" s="85" t="s">
        <v>2511</v>
      </c>
    </row>
    <row r="578" spans="1:6" x14ac:dyDescent="0.25">
      <c r="A578" s="85" t="s">
        <v>2661</v>
      </c>
      <c r="B578" s="79" t="s">
        <v>2115</v>
      </c>
      <c r="C578" s="89" t="s">
        <v>2496</v>
      </c>
      <c r="D578" s="97" t="s">
        <v>2640</v>
      </c>
      <c r="E578" s="86" t="s">
        <v>2662</v>
      </c>
      <c r="F578" s="85" t="s">
        <v>2528</v>
      </c>
    </row>
    <row r="579" spans="1:6" x14ac:dyDescent="0.25">
      <c r="A579" s="85" t="s">
        <v>2663</v>
      </c>
      <c r="B579" s="79" t="s">
        <v>2115</v>
      </c>
      <c r="C579" s="89" t="s">
        <v>2496</v>
      </c>
      <c r="D579" s="97" t="s">
        <v>2640</v>
      </c>
      <c r="E579" s="86" t="s">
        <v>2664</v>
      </c>
      <c r="F579" s="85" t="s">
        <v>2528</v>
      </c>
    </row>
    <row r="580" spans="1:6" x14ac:dyDescent="0.25">
      <c r="A580" s="85" t="s">
        <v>2665</v>
      </c>
      <c r="B580" s="79" t="s">
        <v>2115</v>
      </c>
      <c r="C580" s="89" t="s">
        <v>2496</v>
      </c>
      <c r="D580" s="97" t="s">
        <v>2640</v>
      </c>
      <c r="E580" s="86" t="s">
        <v>2666</v>
      </c>
      <c r="F580" s="85" t="s">
        <v>2528</v>
      </c>
    </row>
    <row r="581" spans="1:6" x14ac:dyDescent="0.25">
      <c r="A581" s="85" t="s">
        <v>2667</v>
      </c>
      <c r="B581" s="79" t="s">
        <v>2115</v>
      </c>
      <c r="C581" s="89" t="s">
        <v>2496</v>
      </c>
      <c r="D581" s="97" t="s">
        <v>2640</v>
      </c>
      <c r="E581" s="86" t="s">
        <v>2668</v>
      </c>
      <c r="F581" s="85" t="s">
        <v>2511</v>
      </c>
    </row>
    <row r="582" spans="1:6" x14ac:dyDescent="0.25">
      <c r="A582" s="85" t="s">
        <v>2669</v>
      </c>
      <c r="B582" s="79" t="s">
        <v>2115</v>
      </c>
      <c r="C582" s="89" t="s">
        <v>2496</v>
      </c>
      <c r="D582" s="97" t="s">
        <v>2640</v>
      </c>
      <c r="E582" s="86" t="s">
        <v>2670</v>
      </c>
      <c r="F582" s="85" t="s">
        <v>2528</v>
      </c>
    </row>
    <row r="583" spans="1:6" x14ac:dyDescent="0.25">
      <c r="A583" s="85" t="s">
        <v>2671</v>
      </c>
      <c r="B583" s="79" t="s">
        <v>2115</v>
      </c>
      <c r="C583" s="89" t="s">
        <v>2496</v>
      </c>
      <c r="D583" s="97" t="s">
        <v>2640</v>
      </c>
      <c r="E583" s="86" t="s">
        <v>2672</v>
      </c>
      <c r="F583" s="85" t="s">
        <v>2528</v>
      </c>
    </row>
    <row r="584" spans="1:6" x14ac:dyDescent="0.2">
      <c r="A584" s="96" t="s">
        <v>2673</v>
      </c>
      <c r="B584" s="79" t="s">
        <v>2115</v>
      </c>
      <c r="C584" s="89" t="s">
        <v>2496</v>
      </c>
      <c r="D584" s="97" t="s">
        <v>2674</v>
      </c>
      <c r="E584" s="97"/>
      <c r="F584" s="101"/>
    </row>
    <row r="585" spans="1:6" x14ac:dyDescent="0.2">
      <c r="A585" s="85" t="s">
        <v>2675</v>
      </c>
      <c r="B585" s="79" t="s">
        <v>2115</v>
      </c>
      <c r="C585" s="89" t="s">
        <v>2496</v>
      </c>
      <c r="D585" s="97" t="s">
        <v>2674</v>
      </c>
      <c r="E585" s="86" t="s">
        <v>2676</v>
      </c>
      <c r="F585" s="92"/>
    </row>
    <row r="586" spans="1:6" x14ac:dyDescent="0.25">
      <c r="A586" s="85" t="s">
        <v>2677</v>
      </c>
      <c r="B586" s="79" t="s">
        <v>2115</v>
      </c>
      <c r="C586" s="89" t="s">
        <v>2496</v>
      </c>
      <c r="D586" s="97" t="s">
        <v>2674</v>
      </c>
      <c r="E586" s="86" t="s">
        <v>2678</v>
      </c>
      <c r="F586" s="85" t="s">
        <v>2679</v>
      </c>
    </row>
    <row r="587" spans="1:6" x14ac:dyDescent="0.2">
      <c r="A587" s="85" t="s">
        <v>2680</v>
      </c>
      <c r="B587" s="79" t="s">
        <v>2115</v>
      </c>
      <c r="C587" s="89" t="s">
        <v>2496</v>
      </c>
      <c r="D587" s="97" t="s">
        <v>2674</v>
      </c>
      <c r="E587" s="86" t="s">
        <v>2681</v>
      </c>
      <c r="F587" s="92"/>
    </row>
    <row r="588" spans="1:6" x14ac:dyDescent="0.2">
      <c r="A588" s="85" t="s">
        <v>2682</v>
      </c>
      <c r="B588" s="79" t="s">
        <v>2115</v>
      </c>
      <c r="C588" s="89" t="s">
        <v>2496</v>
      </c>
      <c r="D588" s="97" t="s">
        <v>2674</v>
      </c>
      <c r="E588" s="86" t="s">
        <v>2683</v>
      </c>
      <c r="F588" s="92"/>
    </row>
    <row r="589" spans="1:6" x14ac:dyDescent="0.2">
      <c r="A589" s="85" t="s">
        <v>2684</v>
      </c>
      <c r="B589" s="79" t="s">
        <v>2115</v>
      </c>
      <c r="C589" s="89" t="s">
        <v>2496</v>
      </c>
      <c r="D589" s="97" t="s">
        <v>2674</v>
      </c>
      <c r="E589" s="86" t="s">
        <v>2685</v>
      </c>
      <c r="F589" s="92"/>
    </row>
    <row r="590" spans="1:6" x14ac:dyDescent="0.2">
      <c r="A590" s="85" t="s">
        <v>2686</v>
      </c>
      <c r="B590" s="79" t="s">
        <v>2115</v>
      </c>
      <c r="C590" s="89" t="s">
        <v>2496</v>
      </c>
      <c r="D590" s="97" t="s">
        <v>2674</v>
      </c>
      <c r="E590" s="86" t="s">
        <v>2687</v>
      </c>
      <c r="F590" s="92"/>
    </row>
    <row r="591" spans="1:6" x14ac:dyDescent="0.2">
      <c r="A591" s="85" t="s">
        <v>2688</v>
      </c>
      <c r="B591" s="79" t="s">
        <v>2115</v>
      </c>
      <c r="C591" s="89" t="s">
        <v>2496</v>
      </c>
      <c r="D591" s="97" t="s">
        <v>2674</v>
      </c>
      <c r="E591" s="86" t="s">
        <v>2689</v>
      </c>
      <c r="F591" s="92"/>
    </row>
    <row r="592" spans="1:6" x14ac:dyDescent="0.25">
      <c r="A592" s="85" t="s">
        <v>2690</v>
      </c>
      <c r="B592" s="79" t="s">
        <v>2115</v>
      </c>
      <c r="C592" s="89" t="s">
        <v>2496</v>
      </c>
      <c r="D592" s="97" t="s">
        <v>2674</v>
      </c>
      <c r="E592" s="86" t="s">
        <v>2691</v>
      </c>
      <c r="F592" s="85" t="s">
        <v>2679</v>
      </c>
    </row>
    <row r="593" spans="1:6" x14ac:dyDescent="0.2">
      <c r="A593" s="85" t="s">
        <v>2692</v>
      </c>
      <c r="B593" s="79" t="s">
        <v>2115</v>
      </c>
      <c r="C593" s="89" t="s">
        <v>2496</v>
      </c>
      <c r="D593" s="97" t="s">
        <v>2674</v>
      </c>
      <c r="E593" s="86" t="s">
        <v>2693</v>
      </c>
      <c r="F593" s="92"/>
    </row>
    <row r="594" spans="1:6" x14ac:dyDescent="0.2">
      <c r="A594" s="85" t="s">
        <v>2694</v>
      </c>
      <c r="B594" s="79" t="s">
        <v>2115</v>
      </c>
      <c r="C594" s="89" t="s">
        <v>2496</v>
      </c>
      <c r="D594" s="97" t="s">
        <v>2674</v>
      </c>
      <c r="E594" s="86" t="s">
        <v>2695</v>
      </c>
      <c r="F594" s="92"/>
    </row>
    <row r="595" spans="1:6" x14ac:dyDescent="0.25">
      <c r="A595" s="85" t="s">
        <v>2696</v>
      </c>
      <c r="B595" s="79" t="s">
        <v>2115</v>
      </c>
      <c r="C595" s="89" t="s">
        <v>2496</v>
      </c>
      <c r="D595" s="97" t="s">
        <v>2674</v>
      </c>
      <c r="E595" s="86" t="s">
        <v>2697</v>
      </c>
      <c r="F595" s="85" t="s">
        <v>2208</v>
      </c>
    </row>
    <row r="596" spans="1:6" x14ac:dyDescent="0.25">
      <c r="A596" s="85" t="s">
        <v>2698</v>
      </c>
      <c r="B596" s="79" t="s">
        <v>2115</v>
      </c>
      <c r="C596" s="89" t="s">
        <v>2496</v>
      </c>
      <c r="D596" s="97" t="s">
        <v>2674</v>
      </c>
      <c r="E596" s="86" t="s">
        <v>2699</v>
      </c>
      <c r="F596" s="85" t="s">
        <v>2238</v>
      </c>
    </row>
    <row r="597" spans="1:6" x14ac:dyDescent="0.25">
      <c r="A597" s="85" t="s">
        <v>2700</v>
      </c>
      <c r="B597" s="79" t="s">
        <v>2115</v>
      </c>
      <c r="C597" s="89" t="s">
        <v>2496</v>
      </c>
      <c r="D597" s="97" t="s">
        <v>2674</v>
      </c>
      <c r="E597" s="86" t="s">
        <v>2701</v>
      </c>
      <c r="F597" s="85" t="s">
        <v>2289</v>
      </c>
    </row>
    <row r="598" spans="1:6" x14ac:dyDescent="0.2">
      <c r="A598" s="96" t="s">
        <v>2702</v>
      </c>
      <c r="B598" s="79" t="s">
        <v>2115</v>
      </c>
      <c r="C598" s="89" t="s">
        <v>2496</v>
      </c>
      <c r="D598" s="97" t="s">
        <v>2703</v>
      </c>
      <c r="E598" s="97"/>
      <c r="F598" s="101"/>
    </row>
    <row r="599" spans="1:6" x14ac:dyDescent="0.25">
      <c r="A599" s="85" t="s">
        <v>2704</v>
      </c>
      <c r="B599" s="79" t="s">
        <v>2115</v>
      </c>
      <c r="C599" s="89" t="s">
        <v>2496</v>
      </c>
      <c r="D599" s="97" t="s">
        <v>2703</v>
      </c>
      <c r="E599" s="86" t="s">
        <v>2705</v>
      </c>
      <c r="F599" s="85" t="s">
        <v>2706</v>
      </c>
    </row>
    <row r="600" spans="1:6" x14ac:dyDescent="0.25">
      <c r="A600" s="85" t="s">
        <v>2707</v>
      </c>
      <c r="B600" s="79" t="s">
        <v>2115</v>
      </c>
      <c r="C600" s="89" t="s">
        <v>2496</v>
      </c>
      <c r="D600" s="97" t="s">
        <v>2703</v>
      </c>
      <c r="E600" s="86" t="s">
        <v>2708</v>
      </c>
      <c r="F600" s="85" t="s">
        <v>2706</v>
      </c>
    </row>
    <row r="601" spans="1:6" x14ac:dyDescent="0.25">
      <c r="A601" s="85" t="s">
        <v>2709</v>
      </c>
      <c r="B601" s="79" t="s">
        <v>2115</v>
      </c>
      <c r="C601" s="89" t="s">
        <v>2496</v>
      </c>
      <c r="D601" s="97" t="s">
        <v>2703</v>
      </c>
      <c r="E601" s="86" t="s">
        <v>2710</v>
      </c>
      <c r="F601" s="85" t="s">
        <v>2706</v>
      </c>
    </row>
    <row r="602" spans="1:6" x14ac:dyDescent="0.25">
      <c r="A602" s="85" t="s">
        <v>2711</v>
      </c>
      <c r="B602" s="79" t="s">
        <v>2115</v>
      </c>
      <c r="C602" s="89" t="s">
        <v>2496</v>
      </c>
      <c r="D602" s="97" t="s">
        <v>2703</v>
      </c>
      <c r="E602" s="86" t="s">
        <v>2712</v>
      </c>
      <c r="F602" s="85" t="s">
        <v>2706</v>
      </c>
    </row>
    <row r="603" spans="1:6" x14ac:dyDescent="0.25">
      <c r="A603" s="85" t="s">
        <v>2713</v>
      </c>
      <c r="B603" s="79" t="s">
        <v>2115</v>
      </c>
      <c r="C603" s="89" t="s">
        <v>2496</v>
      </c>
      <c r="D603" s="97" t="s">
        <v>2703</v>
      </c>
      <c r="E603" s="86" t="s">
        <v>2714</v>
      </c>
      <c r="F603" s="85" t="s">
        <v>2706</v>
      </c>
    </row>
    <row r="604" spans="1:6" x14ac:dyDescent="0.25">
      <c r="A604" s="85" t="s">
        <v>2715</v>
      </c>
      <c r="B604" s="79" t="s">
        <v>2115</v>
      </c>
      <c r="C604" s="89" t="s">
        <v>2496</v>
      </c>
      <c r="D604" s="97" t="s">
        <v>2703</v>
      </c>
      <c r="E604" s="86" t="s">
        <v>2716</v>
      </c>
      <c r="F604" s="85" t="s">
        <v>2706</v>
      </c>
    </row>
    <row r="605" spans="1:6" x14ac:dyDescent="0.25">
      <c r="A605" s="85" t="s">
        <v>2717</v>
      </c>
      <c r="B605" s="79" t="s">
        <v>2115</v>
      </c>
      <c r="C605" s="89" t="s">
        <v>2496</v>
      </c>
      <c r="D605" s="97" t="s">
        <v>2703</v>
      </c>
      <c r="E605" s="86" t="s">
        <v>2718</v>
      </c>
      <c r="F605" s="85" t="s">
        <v>2706</v>
      </c>
    </row>
    <row r="606" spans="1:6" x14ac:dyDescent="0.25">
      <c r="A606" s="85" t="s">
        <v>2719</v>
      </c>
      <c r="B606" s="79" t="s">
        <v>2115</v>
      </c>
      <c r="C606" s="89" t="s">
        <v>2496</v>
      </c>
      <c r="D606" s="97" t="s">
        <v>2703</v>
      </c>
      <c r="E606" s="86" t="s">
        <v>2720</v>
      </c>
      <c r="F606" s="85" t="s">
        <v>2706</v>
      </c>
    </row>
    <row r="607" spans="1:6" x14ac:dyDescent="0.25">
      <c r="A607" s="85" t="s">
        <v>2721</v>
      </c>
      <c r="B607" s="79" t="s">
        <v>2115</v>
      </c>
      <c r="C607" s="89" t="s">
        <v>2496</v>
      </c>
      <c r="D607" s="97" t="s">
        <v>2703</v>
      </c>
      <c r="E607" s="86" t="s">
        <v>2722</v>
      </c>
      <c r="F607" s="85" t="s">
        <v>2518</v>
      </c>
    </row>
    <row r="608" spans="1:6" x14ac:dyDescent="0.2">
      <c r="A608" s="96" t="s">
        <v>2723</v>
      </c>
      <c r="B608" s="79" t="s">
        <v>2115</v>
      </c>
      <c r="C608" s="89" t="s">
        <v>2496</v>
      </c>
      <c r="D608" s="97" t="s">
        <v>2724</v>
      </c>
      <c r="E608" s="97"/>
      <c r="F608" s="101"/>
    </row>
    <row r="609" spans="1:6" x14ac:dyDescent="0.25">
      <c r="A609" s="85" t="s">
        <v>2725</v>
      </c>
      <c r="B609" s="79" t="s">
        <v>2115</v>
      </c>
      <c r="C609" s="89" t="s">
        <v>2496</v>
      </c>
      <c r="D609" s="97" t="s">
        <v>2724</v>
      </c>
      <c r="E609" s="86" t="s">
        <v>2726</v>
      </c>
      <c r="F609" s="85" t="s">
        <v>2727</v>
      </c>
    </row>
    <row r="610" spans="1:6" x14ac:dyDescent="0.25">
      <c r="A610" s="96" t="s">
        <v>2728</v>
      </c>
      <c r="B610" s="79" t="s">
        <v>2115</v>
      </c>
      <c r="C610" s="89" t="s">
        <v>2496</v>
      </c>
      <c r="D610" s="97" t="s">
        <v>2729</v>
      </c>
      <c r="E610" s="97"/>
      <c r="F610" s="98" t="s">
        <v>1976</v>
      </c>
    </row>
    <row r="611" spans="1:6" x14ac:dyDescent="0.25">
      <c r="A611" s="85" t="s">
        <v>2730</v>
      </c>
      <c r="B611" s="79" t="s">
        <v>2115</v>
      </c>
      <c r="C611" s="89" t="s">
        <v>2496</v>
      </c>
      <c r="D611" s="97" t="s">
        <v>2729</v>
      </c>
      <c r="E611" s="86" t="s">
        <v>2731</v>
      </c>
      <c r="F611" s="85" t="s">
        <v>1976</v>
      </c>
    </row>
    <row r="612" spans="1:6" x14ac:dyDescent="0.25">
      <c r="A612" s="85" t="s">
        <v>2732</v>
      </c>
      <c r="B612" s="79" t="s">
        <v>2115</v>
      </c>
      <c r="C612" s="89" t="s">
        <v>2496</v>
      </c>
      <c r="D612" s="97" t="s">
        <v>2729</v>
      </c>
      <c r="E612" s="86" t="s">
        <v>2733</v>
      </c>
      <c r="F612" s="85" t="s">
        <v>1976</v>
      </c>
    </row>
    <row r="613" spans="1:6" x14ac:dyDescent="0.25">
      <c r="A613" s="85" t="s">
        <v>2734</v>
      </c>
      <c r="B613" s="79" t="s">
        <v>2115</v>
      </c>
      <c r="C613" s="89" t="s">
        <v>2496</v>
      </c>
      <c r="D613" s="97" t="s">
        <v>2729</v>
      </c>
      <c r="E613" s="86" t="s">
        <v>2735</v>
      </c>
      <c r="F613" s="85" t="s">
        <v>1976</v>
      </c>
    </row>
    <row r="614" spans="1:6" x14ac:dyDescent="0.25">
      <c r="A614" s="85" t="s">
        <v>2736</v>
      </c>
      <c r="B614" s="79" t="s">
        <v>2115</v>
      </c>
      <c r="C614" s="89" t="s">
        <v>2496</v>
      </c>
      <c r="D614" s="97" t="s">
        <v>2729</v>
      </c>
      <c r="E614" s="86" t="s">
        <v>2737</v>
      </c>
      <c r="F614" s="85" t="s">
        <v>1976</v>
      </c>
    </row>
    <row r="615" spans="1:6" x14ac:dyDescent="0.25">
      <c r="A615" s="85" t="s">
        <v>2738</v>
      </c>
      <c r="B615" s="79" t="s">
        <v>2115</v>
      </c>
      <c r="C615" s="89" t="s">
        <v>2496</v>
      </c>
      <c r="D615" s="97" t="s">
        <v>2729</v>
      </c>
      <c r="E615" s="86" t="s">
        <v>2739</v>
      </c>
      <c r="F615" s="85" t="s">
        <v>1976</v>
      </c>
    </row>
    <row r="616" spans="1:6" x14ac:dyDescent="0.25">
      <c r="A616" s="85" t="s">
        <v>2740</v>
      </c>
      <c r="B616" s="79" t="s">
        <v>2115</v>
      </c>
      <c r="C616" s="89" t="s">
        <v>2496</v>
      </c>
      <c r="D616" s="97" t="s">
        <v>2729</v>
      </c>
      <c r="E616" s="86" t="s">
        <v>2741</v>
      </c>
      <c r="F616" s="85" t="s">
        <v>1976</v>
      </c>
    </row>
    <row r="617" spans="1:6" x14ac:dyDescent="0.25">
      <c r="A617" s="85" t="s">
        <v>2742</v>
      </c>
      <c r="B617" s="79" t="s">
        <v>2115</v>
      </c>
      <c r="C617" s="89" t="s">
        <v>2496</v>
      </c>
      <c r="D617" s="97" t="s">
        <v>2729</v>
      </c>
      <c r="E617" s="86" t="s">
        <v>2743</v>
      </c>
      <c r="F617" s="85" t="s">
        <v>1976</v>
      </c>
    </row>
    <row r="618" spans="1:6" x14ac:dyDescent="0.25">
      <c r="A618" s="85" t="s">
        <v>2744</v>
      </c>
      <c r="B618" s="79" t="s">
        <v>2115</v>
      </c>
      <c r="C618" s="89" t="s">
        <v>2496</v>
      </c>
      <c r="D618" s="97" t="s">
        <v>2729</v>
      </c>
      <c r="E618" s="86" t="s">
        <v>2745</v>
      </c>
      <c r="F618" s="85" t="s">
        <v>1976</v>
      </c>
    </row>
    <row r="619" spans="1:6" x14ac:dyDescent="0.25">
      <c r="A619" s="85" t="s">
        <v>2746</v>
      </c>
      <c r="B619" s="79" t="s">
        <v>2115</v>
      </c>
      <c r="C619" s="89" t="s">
        <v>2496</v>
      </c>
      <c r="D619" s="97" t="s">
        <v>2729</v>
      </c>
      <c r="E619" s="86" t="s">
        <v>2747</v>
      </c>
      <c r="F619" s="85" t="s">
        <v>1976</v>
      </c>
    </row>
    <row r="620" spans="1:6" x14ac:dyDescent="0.25">
      <c r="A620" s="85" t="s">
        <v>2748</v>
      </c>
      <c r="B620" s="79" t="s">
        <v>2115</v>
      </c>
      <c r="C620" s="89" t="s">
        <v>2496</v>
      </c>
      <c r="D620" s="97" t="s">
        <v>2729</v>
      </c>
      <c r="E620" s="86" t="s">
        <v>2749</v>
      </c>
      <c r="F620" s="85" t="s">
        <v>1976</v>
      </c>
    </row>
    <row r="621" spans="1:6" x14ac:dyDescent="0.25">
      <c r="A621" s="85" t="s">
        <v>2750</v>
      </c>
      <c r="B621" s="79" t="s">
        <v>2115</v>
      </c>
      <c r="C621" s="89" t="s">
        <v>2496</v>
      </c>
      <c r="D621" s="97" t="s">
        <v>2729</v>
      </c>
      <c r="E621" s="86" t="s">
        <v>2751</v>
      </c>
      <c r="F621" s="85" t="s">
        <v>1976</v>
      </c>
    </row>
    <row r="622" spans="1:6" x14ac:dyDescent="0.25">
      <c r="A622" s="85" t="s">
        <v>2752</v>
      </c>
      <c r="B622" s="79" t="s">
        <v>2115</v>
      </c>
      <c r="C622" s="89" t="s">
        <v>2496</v>
      </c>
      <c r="D622" s="97" t="s">
        <v>2729</v>
      </c>
      <c r="E622" s="86" t="s">
        <v>2753</v>
      </c>
      <c r="F622" s="85" t="s">
        <v>1976</v>
      </c>
    </row>
    <row r="623" spans="1:6" x14ac:dyDescent="0.25">
      <c r="A623" s="85" t="s">
        <v>2754</v>
      </c>
      <c r="B623" s="79" t="s">
        <v>2115</v>
      </c>
      <c r="C623" s="89" t="s">
        <v>2496</v>
      </c>
      <c r="D623" s="97" t="s">
        <v>2729</v>
      </c>
      <c r="E623" s="86" t="s">
        <v>2755</v>
      </c>
      <c r="F623" s="85" t="s">
        <v>1976</v>
      </c>
    </row>
    <row r="624" spans="1:6" x14ac:dyDescent="0.25">
      <c r="A624" s="85" t="s">
        <v>2756</v>
      </c>
      <c r="B624" s="79" t="s">
        <v>2115</v>
      </c>
      <c r="C624" s="89" t="s">
        <v>2496</v>
      </c>
      <c r="D624" s="97" t="s">
        <v>2729</v>
      </c>
      <c r="E624" s="86" t="s">
        <v>2757</v>
      </c>
      <c r="F624" s="85" t="s">
        <v>1976</v>
      </c>
    </row>
    <row r="625" spans="1:6" x14ac:dyDescent="0.25">
      <c r="A625" s="85" t="s">
        <v>2758</v>
      </c>
      <c r="B625" s="79" t="s">
        <v>2115</v>
      </c>
      <c r="C625" s="89" t="s">
        <v>2496</v>
      </c>
      <c r="D625" s="97" t="s">
        <v>2729</v>
      </c>
      <c r="E625" s="86" t="s">
        <v>2759</v>
      </c>
      <c r="F625" s="85" t="s">
        <v>1976</v>
      </c>
    </row>
    <row r="626" spans="1:6" x14ac:dyDescent="0.25">
      <c r="A626" s="85" t="s">
        <v>2760</v>
      </c>
      <c r="B626" s="79" t="s">
        <v>2115</v>
      </c>
      <c r="C626" s="89" t="s">
        <v>2496</v>
      </c>
      <c r="D626" s="97" t="s">
        <v>2729</v>
      </c>
      <c r="E626" s="86" t="s">
        <v>2761</v>
      </c>
      <c r="F626" s="85" t="s">
        <v>1976</v>
      </c>
    </row>
    <row r="627" spans="1:6" x14ac:dyDescent="0.25">
      <c r="A627" s="85" t="s">
        <v>2762</v>
      </c>
      <c r="B627" s="79" t="s">
        <v>2115</v>
      </c>
      <c r="C627" s="89" t="s">
        <v>2496</v>
      </c>
      <c r="D627" s="97" t="s">
        <v>2729</v>
      </c>
      <c r="E627" s="86" t="s">
        <v>2763</v>
      </c>
      <c r="F627" s="85" t="s">
        <v>1976</v>
      </c>
    </row>
    <row r="628" spans="1:6" x14ac:dyDescent="0.25">
      <c r="A628" s="85" t="s">
        <v>2764</v>
      </c>
      <c r="B628" s="79" t="s">
        <v>2115</v>
      </c>
      <c r="C628" s="89" t="s">
        <v>2496</v>
      </c>
      <c r="D628" s="97" t="s">
        <v>2729</v>
      </c>
      <c r="E628" s="86" t="s">
        <v>2765</v>
      </c>
      <c r="F628" s="85" t="s">
        <v>2518</v>
      </c>
    </row>
    <row r="629" spans="1:6" x14ac:dyDescent="0.25">
      <c r="A629" s="85" t="s">
        <v>2766</v>
      </c>
      <c r="B629" s="79" t="s">
        <v>2115</v>
      </c>
      <c r="C629" s="89" t="s">
        <v>2496</v>
      </c>
      <c r="D629" s="97" t="s">
        <v>2729</v>
      </c>
      <c r="E629" s="86" t="s">
        <v>2767</v>
      </c>
      <c r="F629" s="85" t="s">
        <v>2217</v>
      </c>
    </row>
    <row r="630" spans="1:6" x14ac:dyDescent="0.25">
      <c r="A630" s="96" t="s">
        <v>2768</v>
      </c>
      <c r="B630" s="79" t="s">
        <v>2115</v>
      </c>
      <c r="C630" s="89" t="s">
        <v>2496</v>
      </c>
      <c r="D630" s="97" t="s">
        <v>2769</v>
      </c>
      <c r="E630" s="97"/>
      <c r="F630" s="98" t="s">
        <v>2770</v>
      </c>
    </row>
    <row r="631" spans="1:6" x14ac:dyDescent="0.25">
      <c r="A631" s="85" t="s">
        <v>2771</v>
      </c>
      <c r="B631" s="79" t="s">
        <v>2115</v>
      </c>
      <c r="C631" s="89" t="s">
        <v>2496</v>
      </c>
      <c r="D631" s="97" t="s">
        <v>2769</v>
      </c>
      <c r="E631" s="86" t="s">
        <v>2772</v>
      </c>
      <c r="F631" s="85" t="s">
        <v>2770</v>
      </c>
    </row>
    <row r="632" spans="1:6" x14ac:dyDescent="0.25">
      <c r="A632" s="85" t="s">
        <v>2773</v>
      </c>
      <c r="B632" s="79" t="s">
        <v>2115</v>
      </c>
      <c r="C632" s="89" t="s">
        <v>2496</v>
      </c>
      <c r="D632" s="97" t="s">
        <v>2769</v>
      </c>
      <c r="E632" s="86" t="s">
        <v>2774</v>
      </c>
      <c r="F632" s="85" t="s">
        <v>2770</v>
      </c>
    </row>
    <row r="633" spans="1:6" x14ac:dyDescent="0.25">
      <c r="A633" s="85" t="s">
        <v>2775</v>
      </c>
      <c r="B633" s="79" t="s">
        <v>2115</v>
      </c>
      <c r="C633" s="89" t="s">
        <v>2496</v>
      </c>
      <c r="D633" s="97" t="s">
        <v>2769</v>
      </c>
      <c r="E633" s="86" t="s">
        <v>2776</v>
      </c>
      <c r="F633" s="85" t="s">
        <v>2770</v>
      </c>
    </row>
    <row r="634" spans="1:6" x14ac:dyDescent="0.25">
      <c r="A634" s="85" t="s">
        <v>2777</v>
      </c>
      <c r="B634" s="79" t="s">
        <v>2115</v>
      </c>
      <c r="C634" s="89" t="s">
        <v>2496</v>
      </c>
      <c r="D634" s="97" t="s">
        <v>2769</v>
      </c>
      <c r="E634" s="86" t="s">
        <v>2778</v>
      </c>
      <c r="F634" s="85" t="s">
        <v>2770</v>
      </c>
    </row>
    <row r="635" spans="1:6" x14ac:dyDescent="0.25">
      <c r="A635" s="85" t="s">
        <v>2779</v>
      </c>
      <c r="B635" s="79" t="s">
        <v>2115</v>
      </c>
      <c r="C635" s="89" t="s">
        <v>2496</v>
      </c>
      <c r="D635" s="97" t="s">
        <v>2769</v>
      </c>
      <c r="E635" s="86" t="s">
        <v>2780</v>
      </c>
      <c r="F635" s="85" t="s">
        <v>2770</v>
      </c>
    </row>
    <row r="636" spans="1:6" x14ac:dyDescent="0.25">
      <c r="A636" s="85" t="s">
        <v>2781</v>
      </c>
      <c r="B636" s="79" t="s">
        <v>2115</v>
      </c>
      <c r="C636" s="89" t="s">
        <v>2496</v>
      </c>
      <c r="D636" s="97" t="s">
        <v>2769</v>
      </c>
      <c r="E636" s="86" t="s">
        <v>2782</v>
      </c>
      <c r="F636" s="85" t="s">
        <v>2770</v>
      </c>
    </row>
    <row r="637" spans="1:6" x14ac:dyDescent="0.25">
      <c r="A637" s="85" t="s">
        <v>2783</v>
      </c>
      <c r="B637" s="79" t="s">
        <v>2115</v>
      </c>
      <c r="C637" s="89" t="s">
        <v>2496</v>
      </c>
      <c r="D637" s="97" t="s">
        <v>2769</v>
      </c>
      <c r="E637" s="86" t="s">
        <v>2784</v>
      </c>
      <c r="F637" s="85" t="s">
        <v>2770</v>
      </c>
    </row>
    <row r="638" spans="1:6" x14ac:dyDescent="0.25">
      <c r="A638" s="85" t="s">
        <v>2785</v>
      </c>
      <c r="B638" s="79" t="s">
        <v>2115</v>
      </c>
      <c r="C638" s="89" t="s">
        <v>2496</v>
      </c>
      <c r="D638" s="97" t="s">
        <v>2769</v>
      </c>
      <c r="E638" s="86" t="s">
        <v>2786</v>
      </c>
      <c r="F638" s="85" t="s">
        <v>2770</v>
      </c>
    </row>
    <row r="639" spans="1:6" x14ac:dyDescent="0.25">
      <c r="A639" s="85" t="s">
        <v>2787</v>
      </c>
      <c r="B639" s="79" t="s">
        <v>2115</v>
      </c>
      <c r="C639" s="89" t="s">
        <v>2496</v>
      </c>
      <c r="D639" s="97" t="s">
        <v>2769</v>
      </c>
      <c r="E639" s="86" t="s">
        <v>2788</v>
      </c>
      <c r="F639" s="85" t="s">
        <v>2770</v>
      </c>
    </row>
    <row r="640" spans="1:6" x14ac:dyDescent="0.25">
      <c r="A640" s="85" t="s">
        <v>2789</v>
      </c>
      <c r="B640" s="79" t="s">
        <v>2115</v>
      </c>
      <c r="C640" s="89" t="s">
        <v>2496</v>
      </c>
      <c r="D640" s="97" t="s">
        <v>2769</v>
      </c>
      <c r="E640" s="86" t="s">
        <v>2790</v>
      </c>
      <c r="F640" s="85" t="s">
        <v>2770</v>
      </c>
    </row>
    <row r="641" spans="1:6" x14ac:dyDescent="0.25">
      <c r="A641" s="85" t="s">
        <v>2791</v>
      </c>
      <c r="B641" s="79" t="s">
        <v>2115</v>
      </c>
      <c r="C641" s="89" t="s">
        <v>2496</v>
      </c>
      <c r="D641" s="97" t="s">
        <v>2769</v>
      </c>
      <c r="E641" s="86" t="s">
        <v>2792</v>
      </c>
      <c r="F641" s="85" t="s">
        <v>2770</v>
      </c>
    </row>
    <row r="642" spans="1:6" x14ac:dyDescent="0.25">
      <c r="A642" s="85" t="s">
        <v>2793</v>
      </c>
      <c r="B642" s="79" t="s">
        <v>2115</v>
      </c>
      <c r="C642" s="89" t="s">
        <v>2496</v>
      </c>
      <c r="D642" s="97" t="s">
        <v>2769</v>
      </c>
      <c r="E642" s="85" t="s">
        <v>2794</v>
      </c>
      <c r="F642" s="85" t="s">
        <v>2795</v>
      </c>
    </row>
    <row r="643" spans="1:6" x14ac:dyDescent="0.25">
      <c r="A643" s="96" t="s">
        <v>2796</v>
      </c>
      <c r="B643" s="79" t="s">
        <v>2115</v>
      </c>
      <c r="C643" s="89" t="s">
        <v>2496</v>
      </c>
      <c r="D643" s="97" t="s">
        <v>2797</v>
      </c>
      <c r="E643" s="97"/>
      <c r="F643" s="98" t="s">
        <v>2798</v>
      </c>
    </row>
    <row r="644" spans="1:6" x14ac:dyDescent="0.25">
      <c r="A644" s="85" t="s">
        <v>2799</v>
      </c>
      <c r="B644" s="79" t="s">
        <v>2115</v>
      </c>
      <c r="C644" s="89" t="s">
        <v>2496</v>
      </c>
      <c r="D644" s="97" t="s">
        <v>2797</v>
      </c>
      <c r="E644" s="86" t="s">
        <v>2800</v>
      </c>
      <c r="F644" s="85" t="s">
        <v>2798</v>
      </c>
    </row>
    <row r="645" spans="1:6" x14ac:dyDescent="0.25">
      <c r="A645" s="85" t="s">
        <v>2801</v>
      </c>
      <c r="B645" s="79" t="s">
        <v>2115</v>
      </c>
      <c r="C645" s="89" t="s">
        <v>2496</v>
      </c>
      <c r="D645" s="97" t="s">
        <v>2797</v>
      </c>
      <c r="E645" s="86" t="s">
        <v>2802</v>
      </c>
      <c r="F645" s="85" t="s">
        <v>2798</v>
      </c>
    </row>
    <row r="646" spans="1:6" x14ac:dyDescent="0.25">
      <c r="A646" s="85" t="s">
        <v>2803</v>
      </c>
      <c r="B646" s="79" t="s">
        <v>2115</v>
      </c>
      <c r="C646" s="89" t="s">
        <v>2496</v>
      </c>
      <c r="D646" s="97" t="s">
        <v>2797</v>
      </c>
      <c r="E646" s="86" t="s">
        <v>2804</v>
      </c>
      <c r="F646" s="85" t="s">
        <v>2798</v>
      </c>
    </row>
    <row r="647" spans="1:6" x14ac:dyDescent="0.25">
      <c r="A647" s="85" t="s">
        <v>2805</v>
      </c>
      <c r="B647" s="79" t="s">
        <v>2115</v>
      </c>
      <c r="C647" s="89" t="s">
        <v>2496</v>
      </c>
      <c r="D647" s="97" t="s">
        <v>2797</v>
      </c>
      <c r="E647" s="86" t="s">
        <v>2806</v>
      </c>
      <c r="F647" s="85" t="s">
        <v>2798</v>
      </c>
    </row>
    <row r="648" spans="1:6" x14ac:dyDescent="0.25">
      <c r="A648" s="85" t="s">
        <v>2807</v>
      </c>
      <c r="B648" s="79" t="s">
        <v>2115</v>
      </c>
      <c r="C648" s="89" t="s">
        <v>2496</v>
      </c>
      <c r="D648" s="97" t="s">
        <v>2797</v>
      </c>
      <c r="E648" s="86" t="s">
        <v>2808</v>
      </c>
      <c r="F648" s="85" t="s">
        <v>2798</v>
      </c>
    </row>
    <row r="649" spans="1:6" x14ac:dyDescent="0.25">
      <c r="A649" s="85" t="s">
        <v>2809</v>
      </c>
      <c r="B649" s="79" t="s">
        <v>2115</v>
      </c>
      <c r="C649" s="89" t="s">
        <v>2496</v>
      </c>
      <c r="D649" s="97" t="s">
        <v>2797</v>
      </c>
      <c r="E649" s="86" t="s">
        <v>2810</v>
      </c>
      <c r="F649" s="85" t="s">
        <v>2798</v>
      </c>
    </row>
    <row r="650" spans="1:6" x14ac:dyDescent="0.25">
      <c r="A650" s="85" t="s">
        <v>2811</v>
      </c>
      <c r="B650" s="79" t="s">
        <v>2115</v>
      </c>
      <c r="C650" s="89" t="s">
        <v>2496</v>
      </c>
      <c r="D650" s="97" t="s">
        <v>2797</v>
      </c>
      <c r="E650" s="86" t="s">
        <v>2812</v>
      </c>
      <c r="F650" s="85" t="s">
        <v>2798</v>
      </c>
    </row>
    <row r="651" spans="1:6" x14ac:dyDescent="0.25">
      <c r="A651" s="85" t="s">
        <v>2813</v>
      </c>
      <c r="B651" s="79" t="s">
        <v>2115</v>
      </c>
      <c r="C651" s="89" t="s">
        <v>2496</v>
      </c>
      <c r="D651" s="97" t="s">
        <v>2797</v>
      </c>
      <c r="E651" s="86" t="s">
        <v>2814</v>
      </c>
      <c r="F651" s="85" t="s">
        <v>2798</v>
      </c>
    </row>
    <row r="652" spans="1:6" x14ac:dyDescent="0.25">
      <c r="A652" s="85" t="s">
        <v>2815</v>
      </c>
      <c r="B652" s="79" t="s">
        <v>2115</v>
      </c>
      <c r="C652" s="89" t="s">
        <v>2496</v>
      </c>
      <c r="D652" s="97" t="s">
        <v>2797</v>
      </c>
      <c r="E652" s="86" t="s">
        <v>2816</v>
      </c>
      <c r="F652" s="85" t="s">
        <v>2798</v>
      </c>
    </row>
    <row r="653" spans="1:6" x14ac:dyDescent="0.25">
      <c r="A653" s="85" t="s">
        <v>2817</v>
      </c>
      <c r="B653" s="79" t="s">
        <v>2115</v>
      </c>
      <c r="C653" s="89" t="s">
        <v>2496</v>
      </c>
      <c r="D653" s="97" t="s">
        <v>2797</v>
      </c>
      <c r="E653" s="86" t="s">
        <v>2818</v>
      </c>
      <c r="F653" s="85" t="s">
        <v>2798</v>
      </c>
    </row>
    <row r="654" spans="1:6" x14ac:dyDescent="0.25">
      <c r="A654" s="85" t="s">
        <v>2819</v>
      </c>
      <c r="B654" s="79" t="s">
        <v>2115</v>
      </c>
      <c r="C654" s="89" t="s">
        <v>2496</v>
      </c>
      <c r="D654" s="97" t="s">
        <v>2797</v>
      </c>
      <c r="E654" s="86" t="s">
        <v>2820</v>
      </c>
      <c r="F654" s="85" t="s">
        <v>2798</v>
      </c>
    </row>
    <row r="655" spans="1:6" x14ac:dyDescent="0.25">
      <c r="A655" s="85" t="s">
        <v>2821</v>
      </c>
      <c r="B655" s="79" t="s">
        <v>2115</v>
      </c>
      <c r="C655" s="89" t="s">
        <v>2496</v>
      </c>
      <c r="D655" s="97" t="s">
        <v>2797</v>
      </c>
      <c r="E655" s="86" t="s">
        <v>2822</v>
      </c>
      <c r="F655" s="85" t="s">
        <v>2798</v>
      </c>
    </row>
    <row r="656" spans="1:6" x14ac:dyDescent="0.25">
      <c r="A656" s="85" t="s">
        <v>2823</v>
      </c>
      <c r="B656" s="79" t="s">
        <v>2115</v>
      </c>
      <c r="C656" s="89" t="s">
        <v>2496</v>
      </c>
      <c r="D656" s="97" t="s">
        <v>2797</v>
      </c>
      <c r="E656" s="86" t="s">
        <v>2824</v>
      </c>
      <c r="F656" s="85" t="s">
        <v>2798</v>
      </c>
    </row>
    <row r="657" spans="1:6" x14ac:dyDescent="0.25">
      <c r="A657" s="85" t="s">
        <v>2825</v>
      </c>
      <c r="B657" s="79" t="s">
        <v>2115</v>
      </c>
      <c r="C657" s="89" t="s">
        <v>2496</v>
      </c>
      <c r="D657" s="97" t="s">
        <v>2797</v>
      </c>
      <c r="E657" s="86" t="s">
        <v>2826</v>
      </c>
      <c r="F657" s="85" t="s">
        <v>2798</v>
      </c>
    </row>
    <row r="658" spans="1:6" x14ac:dyDescent="0.25">
      <c r="A658" s="85" t="s">
        <v>2827</v>
      </c>
      <c r="B658" s="79" t="s">
        <v>2115</v>
      </c>
      <c r="C658" s="89" t="s">
        <v>2496</v>
      </c>
      <c r="D658" s="97" t="s">
        <v>2797</v>
      </c>
      <c r="E658" s="86" t="s">
        <v>2828</v>
      </c>
      <c r="F658" s="85" t="s">
        <v>2798</v>
      </c>
    </row>
    <row r="659" spans="1:6" x14ac:dyDescent="0.2">
      <c r="A659" s="96" t="s">
        <v>2829</v>
      </c>
      <c r="B659" s="79" t="s">
        <v>2115</v>
      </c>
      <c r="C659" s="89" t="s">
        <v>2496</v>
      </c>
      <c r="D659" s="97" t="s">
        <v>2830</v>
      </c>
      <c r="E659" s="97"/>
      <c r="F659" s="101"/>
    </row>
    <row r="660" spans="1:6" x14ac:dyDescent="0.25">
      <c r="A660" s="85" t="s">
        <v>2831</v>
      </c>
      <c r="B660" s="79" t="s">
        <v>2115</v>
      </c>
      <c r="C660" s="89" t="s">
        <v>2496</v>
      </c>
      <c r="D660" s="97" t="s">
        <v>2830</v>
      </c>
      <c r="E660" s="86" t="s">
        <v>2832</v>
      </c>
      <c r="F660" s="85" t="s">
        <v>2833</v>
      </c>
    </row>
    <row r="661" spans="1:6" x14ac:dyDescent="0.25">
      <c r="A661" s="85" t="s">
        <v>2834</v>
      </c>
      <c r="B661" s="79" t="s">
        <v>2115</v>
      </c>
      <c r="C661" s="89" t="s">
        <v>2496</v>
      </c>
      <c r="D661" s="97" t="s">
        <v>2830</v>
      </c>
      <c r="E661" s="86" t="s">
        <v>2835</v>
      </c>
      <c r="F661" s="85" t="s">
        <v>2567</v>
      </c>
    </row>
    <row r="662" spans="1:6" x14ac:dyDescent="0.25">
      <c r="A662" s="85" t="s">
        <v>2836</v>
      </c>
      <c r="B662" s="79" t="s">
        <v>2115</v>
      </c>
      <c r="C662" s="89" t="s">
        <v>2496</v>
      </c>
      <c r="D662" s="97" t="s">
        <v>2830</v>
      </c>
      <c r="E662" s="86" t="s">
        <v>2837</v>
      </c>
      <c r="F662" s="85" t="s">
        <v>2833</v>
      </c>
    </row>
    <row r="663" spans="1:6" x14ac:dyDescent="0.25">
      <c r="A663" s="96" t="s">
        <v>2838</v>
      </c>
      <c r="B663" s="79" t="s">
        <v>2115</v>
      </c>
      <c r="C663" s="89" t="s">
        <v>2496</v>
      </c>
      <c r="D663" s="97" t="s">
        <v>2839</v>
      </c>
      <c r="E663" s="97"/>
      <c r="F663" s="98" t="s">
        <v>2840</v>
      </c>
    </row>
    <row r="664" spans="1:6" x14ac:dyDescent="0.25">
      <c r="A664" s="85" t="s">
        <v>2841</v>
      </c>
      <c r="B664" s="79" t="s">
        <v>2115</v>
      </c>
      <c r="C664" s="89" t="s">
        <v>2496</v>
      </c>
      <c r="D664" s="97" t="s">
        <v>2839</v>
      </c>
      <c r="E664" s="86" t="s">
        <v>2842</v>
      </c>
      <c r="F664" s="85" t="s">
        <v>2840</v>
      </c>
    </row>
    <row r="665" spans="1:6" x14ac:dyDescent="0.25">
      <c r="A665" s="85" t="s">
        <v>2843</v>
      </c>
      <c r="B665" s="79" t="s">
        <v>2115</v>
      </c>
      <c r="C665" s="89" t="s">
        <v>2496</v>
      </c>
      <c r="D665" s="97" t="s">
        <v>2839</v>
      </c>
      <c r="E665" s="86" t="s">
        <v>2844</v>
      </c>
      <c r="F665" s="85" t="s">
        <v>2840</v>
      </c>
    </row>
    <row r="666" spans="1:6" x14ac:dyDescent="0.25">
      <c r="A666" s="85" t="s">
        <v>2845</v>
      </c>
      <c r="B666" s="79" t="s">
        <v>2115</v>
      </c>
      <c r="C666" s="89" t="s">
        <v>2496</v>
      </c>
      <c r="D666" s="97" t="s">
        <v>2839</v>
      </c>
      <c r="E666" s="86" t="s">
        <v>2846</v>
      </c>
      <c r="F666" s="85" t="s">
        <v>2840</v>
      </c>
    </row>
    <row r="667" spans="1:6" x14ac:dyDescent="0.25">
      <c r="A667" s="85" t="s">
        <v>2847</v>
      </c>
      <c r="B667" s="79" t="s">
        <v>2115</v>
      </c>
      <c r="C667" s="89" t="s">
        <v>2496</v>
      </c>
      <c r="D667" s="97" t="s">
        <v>2839</v>
      </c>
      <c r="E667" s="86" t="s">
        <v>2848</v>
      </c>
      <c r="F667" s="85" t="s">
        <v>2840</v>
      </c>
    </row>
    <row r="668" spans="1:6" x14ac:dyDescent="0.25">
      <c r="A668" s="85" t="s">
        <v>2849</v>
      </c>
      <c r="B668" s="79" t="s">
        <v>2115</v>
      </c>
      <c r="C668" s="89" t="s">
        <v>2496</v>
      </c>
      <c r="D668" s="97" t="s">
        <v>2839</v>
      </c>
      <c r="E668" s="86" t="s">
        <v>2850</v>
      </c>
      <c r="F668" s="85" t="s">
        <v>2840</v>
      </c>
    </row>
    <row r="669" spans="1:6" x14ac:dyDescent="0.25">
      <c r="A669" s="96" t="s">
        <v>2851</v>
      </c>
      <c r="B669" s="79" t="s">
        <v>2115</v>
      </c>
      <c r="C669" s="89" t="s">
        <v>2496</v>
      </c>
      <c r="D669" s="97" t="s">
        <v>2852</v>
      </c>
      <c r="E669" s="97"/>
      <c r="F669" s="98" t="s">
        <v>2853</v>
      </c>
    </row>
    <row r="670" spans="1:6" x14ac:dyDescent="0.25">
      <c r="A670" s="85" t="s">
        <v>2854</v>
      </c>
      <c r="B670" s="79" t="s">
        <v>2115</v>
      </c>
      <c r="C670" s="89" t="s">
        <v>2496</v>
      </c>
      <c r="D670" s="97" t="s">
        <v>2852</v>
      </c>
      <c r="E670" s="86" t="s">
        <v>2855</v>
      </c>
      <c r="F670" s="85" t="s">
        <v>2853</v>
      </c>
    </row>
    <row r="671" spans="1:6" x14ac:dyDescent="0.25">
      <c r="A671" s="85" t="s">
        <v>2856</v>
      </c>
      <c r="B671" s="79" t="s">
        <v>2115</v>
      </c>
      <c r="C671" s="89" t="s">
        <v>2496</v>
      </c>
      <c r="D671" s="97" t="s">
        <v>2852</v>
      </c>
      <c r="E671" s="86" t="s">
        <v>2210</v>
      </c>
      <c r="F671" s="85" t="s">
        <v>2853</v>
      </c>
    </row>
    <row r="672" spans="1:6" x14ac:dyDescent="0.25">
      <c r="A672" s="85" t="s">
        <v>2857</v>
      </c>
      <c r="B672" s="79" t="s">
        <v>2115</v>
      </c>
      <c r="C672" s="89" t="s">
        <v>2496</v>
      </c>
      <c r="D672" s="97" t="s">
        <v>2852</v>
      </c>
      <c r="E672" s="86" t="s">
        <v>2858</v>
      </c>
      <c r="F672" s="85" t="s">
        <v>2853</v>
      </c>
    </row>
    <row r="673" spans="1:6" x14ac:dyDescent="0.25">
      <c r="A673" s="85" t="s">
        <v>2859</v>
      </c>
      <c r="B673" s="79" t="s">
        <v>2115</v>
      </c>
      <c r="C673" s="89" t="s">
        <v>2496</v>
      </c>
      <c r="D673" s="97" t="s">
        <v>2852</v>
      </c>
      <c r="E673" s="86" t="s">
        <v>2860</v>
      </c>
      <c r="F673" s="85" t="s">
        <v>2853</v>
      </c>
    </row>
    <row r="674" spans="1:6" x14ac:dyDescent="0.25">
      <c r="A674" s="85" t="s">
        <v>2861</v>
      </c>
      <c r="B674" s="79" t="s">
        <v>2115</v>
      </c>
      <c r="C674" s="89" t="s">
        <v>2496</v>
      </c>
      <c r="D674" s="97" t="s">
        <v>2852</v>
      </c>
      <c r="E674" s="86" t="s">
        <v>2862</v>
      </c>
      <c r="F674" s="85" t="s">
        <v>2853</v>
      </c>
    </row>
    <row r="675" spans="1:6" x14ac:dyDescent="0.25">
      <c r="A675" s="85" t="s">
        <v>2863</v>
      </c>
      <c r="B675" s="79" t="s">
        <v>2115</v>
      </c>
      <c r="C675" s="89" t="s">
        <v>2496</v>
      </c>
      <c r="D675" s="97" t="s">
        <v>2852</v>
      </c>
      <c r="E675" s="86" t="s">
        <v>2864</v>
      </c>
      <c r="F675" s="85" t="s">
        <v>2853</v>
      </c>
    </row>
    <row r="676" spans="1:6" x14ac:dyDescent="0.25">
      <c r="A676" s="96" t="s">
        <v>2865</v>
      </c>
      <c r="B676" s="79" t="s">
        <v>2115</v>
      </c>
      <c r="C676" s="89" t="s">
        <v>2496</v>
      </c>
      <c r="D676" s="97" t="s">
        <v>2866</v>
      </c>
      <c r="E676" s="97"/>
      <c r="F676" s="98" t="s">
        <v>2578</v>
      </c>
    </row>
    <row r="677" spans="1:6" x14ac:dyDescent="0.25">
      <c r="A677" s="85" t="s">
        <v>2867</v>
      </c>
      <c r="B677" s="79" t="s">
        <v>2115</v>
      </c>
      <c r="C677" s="89" t="s">
        <v>2496</v>
      </c>
      <c r="D677" s="97" t="s">
        <v>2866</v>
      </c>
      <c r="E677" s="86" t="s">
        <v>2868</v>
      </c>
      <c r="F677" s="85" t="s">
        <v>2578</v>
      </c>
    </row>
    <row r="678" spans="1:6" x14ac:dyDescent="0.25">
      <c r="A678" s="85" t="s">
        <v>2869</v>
      </c>
      <c r="B678" s="79" t="s">
        <v>2115</v>
      </c>
      <c r="C678" s="89" t="s">
        <v>2496</v>
      </c>
      <c r="D678" s="97" t="s">
        <v>2866</v>
      </c>
      <c r="E678" s="86" t="s">
        <v>2870</v>
      </c>
      <c r="F678" s="85" t="s">
        <v>2578</v>
      </c>
    </row>
    <row r="679" spans="1:6" x14ac:dyDescent="0.25">
      <c r="A679" s="85" t="s">
        <v>2871</v>
      </c>
      <c r="B679" s="79" t="s">
        <v>2115</v>
      </c>
      <c r="C679" s="89" t="s">
        <v>2496</v>
      </c>
      <c r="D679" s="97" t="s">
        <v>2866</v>
      </c>
      <c r="E679" s="86" t="s">
        <v>2872</v>
      </c>
      <c r="F679" s="85" t="s">
        <v>2578</v>
      </c>
    </row>
    <row r="680" spans="1:6" x14ac:dyDescent="0.25">
      <c r="A680" s="85" t="s">
        <v>2873</v>
      </c>
      <c r="B680" s="79" t="s">
        <v>2115</v>
      </c>
      <c r="C680" s="89" t="s">
        <v>2496</v>
      </c>
      <c r="D680" s="97" t="s">
        <v>2866</v>
      </c>
      <c r="E680" s="86" t="s">
        <v>2874</v>
      </c>
      <c r="F680" s="85" t="s">
        <v>2578</v>
      </c>
    </row>
    <row r="681" spans="1:6" x14ac:dyDescent="0.25">
      <c r="A681" s="85" t="s">
        <v>2875</v>
      </c>
      <c r="B681" s="79" t="s">
        <v>2115</v>
      </c>
      <c r="C681" s="89" t="s">
        <v>2496</v>
      </c>
      <c r="D681" s="97" t="s">
        <v>2866</v>
      </c>
      <c r="E681" s="86" t="s">
        <v>2876</v>
      </c>
      <c r="F681" s="85" t="s">
        <v>2411</v>
      </c>
    </row>
    <row r="682" spans="1:6" x14ac:dyDescent="0.25">
      <c r="A682" s="85" t="s">
        <v>2877</v>
      </c>
      <c r="B682" s="79" t="s">
        <v>2115</v>
      </c>
      <c r="C682" s="89" t="s">
        <v>2496</v>
      </c>
      <c r="D682" s="97" t="s">
        <v>2866</v>
      </c>
      <c r="E682" s="86" t="s">
        <v>2878</v>
      </c>
      <c r="F682" s="85" t="s">
        <v>2578</v>
      </c>
    </row>
    <row r="683" spans="1:6" x14ac:dyDescent="0.25">
      <c r="A683" s="85" t="s">
        <v>2879</v>
      </c>
      <c r="B683" s="79" t="s">
        <v>2115</v>
      </c>
      <c r="C683" s="89" t="s">
        <v>2496</v>
      </c>
      <c r="D683" s="97" t="s">
        <v>2866</v>
      </c>
      <c r="E683" s="86" t="s">
        <v>2880</v>
      </c>
      <c r="F683" s="85" t="s">
        <v>2578</v>
      </c>
    </row>
    <row r="684" spans="1:6" x14ac:dyDescent="0.25">
      <c r="A684" s="85" t="s">
        <v>2881</v>
      </c>
      <c r="B684" s="79" t="s">
        <v>2115</v>
      </c>
      <c r="C684" s="89" t="s">
        <v>2496</v>
      </c>
      <c r="D684" s="97" t="s">
        <v>2866</v>
      </c>
      <c r="E684" s="86" t="s">
        <v>2882</v>
      </c>
      <c r="F684" s="85" t="s">
        <v>2578</v>
      </c>
    </row>
    <row r="685" spans="1:6" x14ac:dyDescent="0.2">
      <c r="A685" s="96" t="s">
        <v>2883</v>
      </c>
      <c r="B685" s="79" t="s">
        <v>2115</v>
      </c>
      <c r="C685" s="89" t="s">
        <v>2496</v>
      </c>
      <c r="D685" s="97" t="s">
        <v>2884</v>
      </c>
      <c r="E685" s="97"/>
      <c r="F685" s="101"/>
    </row>
    <row r="686" spans="1:6" x14ac:dyDescent="0.25">
      <c r="A686" s="85" t="s">
        <v>2885</v>
      </c>
      <c r="B686" s="79" t="s">
        <v>2115</v>
      </c>
      <c r="C686" s="89" t="s">
        <v>2496</v>
      </c>
      <c r="D686" s="97" t="s">
        <v>2884</v>
      </c>
      <c r="E686" s="86" t="s">
        <v>2886</v>
      </c>
      <c r="F686" s="85" t="s">
        <v>2887</v>
      </c>
    </row>
    <row r="687" spans="1:6" x14ac:dyDescent="0.25">
      <c r="A687" s="88" t="s">
        <v>2888</v>
      </c>
      <c r="B687" s="79" t="s">
        <v>2115</v>
      </c>
      <c r="C687" s="89" t="s">
        <v>2889</v>
      </c>
      <c r="D687" s="89"/>
      <c r="E687" s="89"/>
      <c r="F687" s="89"/>
    </row>
    <row r="688" spans="1:6" x14ac:dyDescent="0.2">
      <c r="A688" s="96" t="s">
        <v>2890</v>
      </c>
      <c r="B688" s="79" t="s">
        <v>2115</v>
      </c>
      <c r="C688" s="89" t="s">
        <v>2889</v>
      </c>
      <c r="D688" s="97" t="s">
        <v>2891</v>
      </c>
      <c r="E688" s="97"/>
      <c r="F688" s="101"/>
    </row>
    <row r="689" spans="1:6" x14ac:dyDescent="0.2">
      <c r="A689" s="85" t="s">
        <v>2892</v>
      </c>
      <c r="B689" s="79" t="s">
        <v>2115</v>
      </c>
      <c r="C689" s="89" t="s">
        <v>2889</v>
      </c>
      <c r="D689" s="97" t="s">
        <v>2891</v>
      </c>
      <c r="E689" s="86" t="s">
        <v>2893</v>
      </c>
      <c r="F689" s="92"/>
    </row>
    <row r="690" spans="1:6" x14ac:dyDescent="0.25">
      <c r="A690" s="85" t="s">
        <v>2894</v>
      </c>
      <c r="B690" s="79" t="s">
        <v>2115</v>
      </c>
      <c r="C690" s="89" t="s">
        <v>2889</v>
      </c>
      <c r="D690" s="97" t="s">
        <v>2891</v>
      </c>
      <c r="E690" s="86" t="s">
        <v>2895</v>
      </c>
      <c r="F690" s="85" t="s">
        <v>2362</v>
      </c>
    </row>
    <row r="691" spans="1:6" x14ac:dyDescent="0.25">
      <c r="A691" s="85" t="s">
        <v>2896</v>
      </c>
      <c r="B691" s="79" t="s">
        <v>2115</v>
      </c>
      <c r="C691" s="89" t="s">
        <v>2889</v>
      </c>
      <c r="D691" s="97" t="s">
        <v>2891</v>
      </c>
      <c r="E691" s="86" t="s">
        <v>2897</v>
      </c>
      <c r="F691" s="85" t="s">
        <v>2727</v>
      </c>
    </row>
    <row r="692" spans="1:6" x14ac:dyDescent="0.25">
      <c r="A692" s="85" t="s">
        <v>2898</v>
      </c>
      <c r="B692" s="79" t="s">
        <v>2115</v>
      </c>
      <c r="C692" s="89" t="s">
        <v>2889</v>
      </c>
      <c r="D692" s="97" t="s">
        <v>2891</v>
      </c>
      <c r="E692" s="86" t="s">
        <v>2899</v>
      </c>
      <c r="F692" s="85" t="s">
        <v>2350</v>
      </c>
    </row>
    <row r="693" spans="1:6" x14ac:dyDescent="0.25">
      <c r="A693" s="85" t="s">
        <v>2900</v>
      </c>
      <c r="B693" s="79" t="s">
        <v>2115</v>
      </c>
      <c r="C693" s="89" t="s">
        <v>2889</v>
      </c>
      <c r="D693" s="97" t="s">
        <v>2891</v>
      </c>
      <c r="E693" s="86" t="s">
        <v>2901</v>
      </c>
      <c r="F693" s="85" t="s">
        <v>2362</v>
      </c>
    </row>
    <row r="694" spans="1:6" x14ac:dyDescent="0.2">
      <c r="A694" s="96" t="s">
        <v>2902</v>
      </c>
      <c r="B694" s="79" t="s">
        <v>2115</v>
      </c>
      <c r="C694" s="89" t="s">
        <v>2889</v>
      </c>
      <c r="D694" s="97" t="s">
        <v>2903</v>
      </c>
      <c r="E694" s="97"/>
      <c r="F694" s="101"/>
    </row>
    <row r="695" spans="1:6" x14ac:dyDescent="0.25">
      <c r="A695" s="85" t="s">
        <v>2904</v>
      </c>
      <c r="B695" s="79" t="s">
        <v>2115</v>
      </c>
      <c r="C695" s="89" t="s">
        <v>2889</v>
      </c>
      <c r="D695" s="97" t="s">
        <v>2903</v>
      </c>
      <c r="E695" s="86" t="s">
        <v>2905</v>
      </c>
      <c r="F695" s="85" t="s">
        <v>2627</v>
      </c>
    </row>
    <row r="696" spans="1:6" x14ac:dyDescent="0.25">
      <c r="A696" s="85" t="s">
        <v>2906</v>
      </c>
      <c r="B696" s="79" t="s">
        <v>2115</v>
      </c>
      <c r="C696" s="89" t="s">
        <v>2889</v>
      </c>
      <c r="D696" s="97" t="s">
        <v>2903</v>
      </c>
      <c r="E696" s="86" t="s">
        <v>2907</v>
      </c>
      <c r="F696" s="85" t="s">
        <v>2627</v>
      </c>
    </row>
    <row r="697" spans="1:6" x14ac:dyDescent="0.25">
      <c r="A697" s="85" t="s">
        <v>2908</v>
      </c>
      <c r="B697" s="79" t="s">
        <v>2115</v>
      </c>
      <c r="C697" s="89" t="s">
        <v>2889</v>
      </c>
      <c r="D697" s="97" t="s">
        <v>2903</v>
      </c>
      <c r="E697" s="86" t="s">
        <v>2909</v>
      </c>
      <c r="F697" s="85" t="s">
        <v>2910</v>
      </c>
    </row>
    <row r="698" spans="1:6" x14ac:dyDescent="0.25">
      <c r="A698" s="85" t="s">
        <v>2911</v>
      </c>
      <c r="B698" s="79" t="s">
        <v>2115</v>
      </c>
      <c r="C698" s="89" t="s">
        <v>2889</v>
      </c>
      <c r="D698" s="97" t="s">
        <v>2903</v>
      </c>
      <c r="E698" s="86" t="s">
        <v>2912</v>
      </c>
      <c r="F698" s="85" t="s">
        <v>2910</v>
      </c>
    </row>
    <row r="699" spans="1:6" x14ac:dyDescent="0.25">
      <c r="A699" s="85" t="s">
        <v>2913</v>
      </c>
      <c r="B699" s="79" t="s">
        <v>2115</v>
      </c>
      <c r="C699" s="89" t="s">
        <v>2889</v>
      </c>
      <c r="D699" s="97" t="s">
        <v>2903</v>
      </c>
      <c r="E699" s="86" t="s">
        <v>2914</v>
      </c>
      <c r="F699" s="85" t="s">
        <v>2910</v>
      </c>
    </row>
    <row r="700" spans="1:6" x14ac:dyDescent="0.25">
      <c r="A700" s="85" t="s">
        <v>2915</v>
      </c>
      <c r="B700" s="79" t="s">
        <v>2115</v>
      </c>
      <c r="C700" s="89" t="s">
        <v>2889</v>
      </c>
      <c r="D700" s="97" t="s">
        <v>2903</v>
      </c>
      <c r="E700" s="86" t="s">
        <v>2916</v>
      </c>
      <c r="F700" s="85" t="s">
        <v>2627</v>
      </c>
    </row>
    <row r="701" spans="1:6" x14ac:dyDescent="0.25">
      <c r="A701" s="85" t="s">
        <v>2917</v>
      </c>
      <c r="B701" s="79" t="s">
        <v>2115</v>
      </c>
      <c r="C701" s="89" t="s">
        <v>2889</v>
      </c>
      <c r="D701" s="97" t="s">
        <v>2903</v>
      </c>
      <c r="E701" s="86" t="s">
        <v>2918</v>
      </c>
      <c r="F701" s="85" t="s">
        <v>2910</v>
      </c>
    </row>
    <row r="702" spans="1:6" x14ac:dyDescent="0.25">
      <c r="A702" s="85" t="s">
        <v>2919</v>
      </c>
      <c r="B702" s="79" t="s">
        <v>2115</v>
      </c>
      <c r="C702" s="89" t="s">
        <v>2889</v>
      </c>
      <c r="D702" s="97" t="s">
        <v>2903</v>
      </c>
      <c r="E702" s="86" t="s">
        <v>2920</v>
      </c>
      <c r="F702" s="85" t="s">
        <v>2910</v>
      </c>
    </row>
    <row r="703" spans="1:6" x14ac:dyDescent="0.25">
      <c r="A703" s="85" t="s">
        <v>2921</v>
      </c>
      <c r="B703" s="79" t="s">
        <v>2115</v>
      </c>
      <c r="C703" s="89" t="s">
        <v>2889</v>
      </c>
      <c r="D703" s="97" t="s">
        <v>2903</v>
      </c>
      <c r="E703" s="86" t="s">
        <v>2922</v>
      </c>
      <c r="F703" s="85" t="s">
        <v>2910</v>
      </c>
    </row>
    <row r="704" spans="1:6" x14ac:dyDescent="0.25">
      <c r="A704" s="85" t="s">
        <v>2923</v>
      </c>
      <c r="B704" s="79" t="s">
        <v>2115</v>
      </c>
      <c r="C704" s="89" t="s">
        <v>2889</v>
      </c>
      <c r="D704" s="97" t="s">
        <v>2903</v>
      </c>
      <c r="E704" s="86" t="s">
        <v>2924</v>
      </c>
      <c r="F704" s="85" t="s">
        <v>2910</v>
      </c>
    </row>
    <row r="705" spans="1:6" x14ac:dyDescent="0.25">
      <c r="A705" s="85" t="s">
        <v>2925</v>
      </c>
      <c r="B705" s="79" t="s">
        <v>2115</v>
      </c>
      <c r="C705" s="89" t="s">
        <v>2889</v>
      </c>
      <c r="D705" s="97" t="s">
        <v>2903</v>
      </c>
      <c r="E705" s="86" t="s">
        <v>2926</v>
      </c>
      <c r="F705" s="85" t="s">
        <v>2910</v>
      </c>
    </row>
    <row r="706" spans="1:6" x14ac:dyDescent="0.25">
      <c r="A706" s="85" t="s">
        <v>2927</v>
      </c>
      <c r="B706" s="79" t="s">
        <v>2115</v>
      </c>
      <c r="C706" s="89" t="s">
        <v>2889</v>
      </c>
      <c r="D706" s="97" t="s">
        <v>2903</v>
      </c>
      <c r="E706" s="86" t="s">
        <v>2928</v>
      </c>
      <c r="F706" s="85" t="s">
        <v>2910</v>
      </c>
    </row>
    <row r="707" spans="1:6" x14ac:dyDescent="0.25">
      <c r="A707" s="85" t="s">
        <v>2929</v>
      </c>
      <c r="B707" s="79" t="s">
        <v>2115</v>
      </c>
      <c r="C707" s="89" t="s">
        <v>2889</v>
      </c>
      <c r="D707" s="97" t="s">
        <v>2903</v>
      </c>
      <c r="E707" s="86" t="s">
        <v>2930</v>
      </c>
      <c r="F707" s="85" t="s">
        <v>2910</v>
      </c>
    </row>
    <row r="708" spans="1:6" x14ac:dyDescent="0.25">
      <c r="A708" s="88" t="s">
        <v>2931</v>
      </c>
      <c r="B708" s="79" t="s">
        <v>2115</v>
      </c>
      <c r="C708" s="89" t="s">
        <v>2932</v>
      </c>
      <c r="D708" s="89"/>
      <c r="E708" s="89"/>
      <c r="F708" s="89"/>
    </row>
    <row r="709" spans="1:6" x14ac:dyDescent="0.2">
      <c r="A709" s="96" t="s">
        <v>2933</v>
      </c>
      <c r="B709" s="79" t="s">
        <v>2115</v>
      </c>
      <c r="C709" s="89" t="s">
        <v>2932</v>
      </c>
      <c r="D709" s="97" t="s">
        <v>2934</v>
      </c>
      <c r="E709" s="97"/>
      <c r="F709" s="101"/>
    </row>
    <row r="710" spans="1:6" x14ac:dyDescent="0.25">
      <c r="A710" s="85" t="s">
        <v>2935</v>
      </c>
      <c r="B710" s="79" t="s">
        <v>2115</v>
      </c>
      <c r="C710" s="89" t="s">
        <v>2932</v>
      </c>
      <c r="D710" s="97" t="s">
        <v>2934</v>
      </c>
      <c r="E710" s="86" t="s">
        <v>2936</v>
      </c>
      <c r="F710" s="85" t="s">
        <v>2833</v>
      </c>
    </row>
    <row r="711" spans="1:6" x14ac:dyDescent="0.25">
      <c r="A711" s="85" t="s">
        <v>2937</v>
      </c>
      <c r="B711" s="79" t="s">
        <v>2115</v>
      </c>
      <c r="C711" s="89" t="s">
        <v>2932</v>
      </c>
      <c r="D711" s="97" t="s">
        <v>2934</v>
      </c>
      <c r="E711" s="86" t="s">
        <v>672</v>
      </c>
      <c r="F711" s="85" t="s">
        <v>2833</v>
      </c>
    </row>
    <row r="712" spans="1:6" x14ac:dyDescent="0.25">
      <c r="A712" s="85" t="s">
        <v>2938</v>
      </c>
      <c r="B712" s="79" t="s">
        <v>2115</v>
      </c>
      <c r="C712" s="89" t="s">
        <v>2932</v>
      </c>
      <c r="D712" s="97" t="s">
        <v>2934</v>
      </c>
      <c r="E712" s="86" t="s">
        <v>2939</v>
      </c>
      <c r="F712" s="85" t="s">
        <v>2833</v>
      </c>
    </row>
    <row r="713" spans="1:6" x14ac:dyDescent="0.25">
      <c r="A713" s="85" t="s">
        <v>2940</v>
      </c>
      <c r="B713" s="79" t="s">
        <v>2115</v>
      </c>
      <c r="C713" s="89" t="s">
        <v>2932</v>
      </c>
      <c r="D713" s="97" t="s">
        <v>2934</v>
      </c>
      <c r="E713" s="86" t="s">
        <v>2941</v>
      </c>
      <c r="F713" s="85" t="s">
        <v>2833</v>
      </c>
    </row>
    <row r="714" spans="1:6" x14ac:dyDescent="0.25">
      <c r="A714" s="85" t="s">
        <v>2942</v>
      </c>
      <c r="B714" s="79" t="s">
        <v>2115</v>
      </c>
      <c r="C714" s="89" t="s">
        <v>2932</v>
      </c>
      <c r="D714" s="97" t="s">
        <v>2934</v>
      </c>
      <c r="E714" s="86" t="s">
        <v>1995</v>
      </c>
      <c r="F714" s="85" t="s">
        <v>2833</v>
      </c>
    </row>
    <row r="715" spans="1:6" x14ac:dyDescent="0.25">
      <c r="A715" s="85" t="s">
        <v>2943</v>
      </c>
      <c r="B715" s="79" t="s">
        <v>2115</v>
      </c>
      <c r="C715" s="89" t="s">
        <v>2932</v>
      </c>
      <c r="D715" s="97" t="s">
        <v>2934</v>
      </c>
      <c r="E715" s="86" t="s">
        <v>2944</v>
      </c>
      <c r="F715" s="85" t="s">
        <v>2833</v>
      </c>
    </row>
    <row r="716" spans="1:6" x14ac:dyDescent="0.25">
      <c r="A716" s="85" t="s">
        <v>2945</v>
      </c>
      <c r="B716" s="79" t="s">
        <v>2115</v>
      </c>
      <c r="C716" s="89" t="s">
        <v>2932</v>
      </c>
      <c r="D716" s="97" t="s">
        <v>2934</v>
      </c>
      <c r="E716" s="86" t="s">
        <v>2946</v>
      </c>
      <c r="F716" s="85" t="s">
        <v>2833</v>
      </c>
    </row>
    <row r="717" spans="1:6" x14ac:dyDescent="0.25">
      <c r="A717" s="85" t="s">
        <v>2947</v>
      </c>
      <c r="B717" s="79" t="s">
        <v>2115</v>
      </c>
      <c r="C717" s="89" t="s">
        <v>2932</v>
      </c>
      <c r="D717" s="97" t="s">
        <v>2934</v>
      </c>
      <c r="E717" s="86" t="s">
        <v>2948</v>
      </c>
      <c r="F717" s="85" t="s">
        <v>2833</v>
      </c>
    </row>
    <row r="718" spans="1:6" x14ac:dyDescent="0.25">
      <c r="A718" s="85" t="s">
        <v>2949</v>
      </c>
      <c r="B718" s="79" t="s">
        <v>2115</v>
      </c>
      <c r="C718" s="89" t="s">
        <v>2932</v>
      </c>
      <c r="D718" s="97" t="s">
        <v>2934</v>
      </c>
      <c r="E718" s="86" t="s">
        <v>2950</v>
      </c>
      <c r="F718" s="85" t="s">
        <v>2833</v>
      </c>
    </row>
    <row r="719" spans="1:6" x14ac:dyDescent="0.25">
      <c r="A719" s="85" t="s">
        <v>2951</v>
      </c>
      <c r="B719" s="79" t="s">
        <v>2115</v>
      </c>
      <c r="C719" s="89" t="s">
        <v>2932</v>
      </c>
      <c r="D719" s="97" t="s">
        <v>2934</v>
      </c>
      <c r="E719" s="86" t="s">
        <v>2952</v>
      </c>
      <c r="F719" s="85" t="s">
        <v>2833</v>
      </c>
    </row>
    <row r="720" spans="1:6" x14ac:dyDescent="0.25">
      <c r="A720" s="85" t="s">
        <v>2953</v>
      </c>
      <c r="B720" s="79" t="s">
        <v>2115</v>
      </c>
      <c r="C720" s="89" t="s">
        <v>2932</v>
      </c>
      <c r="D720" s="97" t="s">
        <v>2934</v>
      </c>
      <c r="E720" s="86" t="s">
        <v>2954</v>
      </c>
      <c r="F720" s="85" t="s">
        <v>2833</v>
      </c>
    </row>
    <row r="721" spans="1:6" x14ac:dyDescent="0.25">
      <c r="A721" s="85" t="s">
        <v>2955</v>
      </c>
      <c r="B721" s="79" t="s">
        <v>2115</v>
      </c>
      <c r="C721" s="89" t="s">
        <v>2932</v>
      </c>
      <c r="D721" s="97" t="s">
        <v>2934</v>
      </c>
      <c r="E721" s="86" t="s">
        <v>2956</v>
      </c>
      <c r="F721" s="85" t="s">
        <v>2833</v>
      </c>
    </row>
    <row r="722" spans="1:6" x14ac:dyDescent="0.25">
      <c r="A722" s="85" t="s">
        <v>2957</v>
      </c>
      <c r="B722" s="79" t="s">
        <v>2115</v>
      </c>
      <c r="C722" s="89" t="s">
        <v>2932</v>
      </c>
      <c r="D722" s="97" t="s">
        <v>2934</v>
      </c>
      <c r="E722" s="86" t="s">
        <v>2958</v>
      </c>
      <c r="F722" s="85" t="s">
        <v>2833</v>
      </c>
    </row>
    <row r="723" spans="1:6" x14ac:dyDescent="0.25">
      <c r="A723" s="85" t="s">
        <v>2959</v>
      </c>
      <c r="B723" s="79" t="s">
        <v>2115</v>
      </c>
      <c r="C723" s="89" t="s">
        <v>2932</v>
      </c>
      <c r="D723" s="97" t="s">
        <v>2934</v>
      </c>
      <c r="E723" s="86" t="s">
        <v>2960</v>
      </c>
      <c r="F723" s="85" t="s">
        <v>2833</v>
      </c>
    </row>
    <row r="724" spans="1:6" x14ac:dyDescent="0.25">
      <c r="A724" s="85" t="s">
        <v>2961</v>
      </c>
      <c r="B724" s="79" t="s">
        <v>2115</v>
      </c>
      <c r="C724" s="89" t="s">
        <v>2932</v>
      </c>
      <c r="D724" s="97" t="s">
        <v>2934</v>
      </c>
      <c r="E724" s="86" t="s">
        <v>2962</v>
      </c>
      <c r="F724" s="85" t="s">
        <v>2833</v>
      </c>
    </row>
    <row r="725" spans="1:6" x14ac:dyDescent="0.25">
      <c r="A725" s="85" t="s">
        <v>2963</v>
      </c>
      <c r="B725" s="79" t="s">
        <v>2115</v>
      </c>
      <c r="C725" s="89" t="s">
        <v>2932</v>
      </c>
      <c r="D725" s="97" t="s">
        <v>2934</v>
      </c>
      <c r="E725" s="86" t="s">
        <v>2964</v>
      </c>
      <c r="F725" s="85" t="s">
        <v>2833</v>
      </c>
    </row>
    <row r="726" spans="1:6" x14ac:dyDescent="0.25">
      <c r="A726" s="85" t="s">
        <v>2965</v>
      </c>
      <c r="B726" s="79" t="s">
        <v>2115</v>
      </c>
      <c r="C726" s="89" t="s">
        <v>2932</v>
      </c>
      <c r="D726" s="97" t="s">
        <v>2934</v>
      </c>
      <c r="E726" s="86" t="s">
        <v>2966</v>
      </c>
      <c r="F726" s="85" t="s">
        <v>2833</v>
      </c>
    </row>
    <row r="727" spans="1:6" x14ac:dyDescent="0.25">
      <c r="A727" s="85" t="s">
        <v>2967</v>
      </c>
      <c r="B727" s="79" t="s">
        <v>2115</v>
      </c>
      <c r="C727" s="89" t="s">
        <v>2932</v>
      </c>
      <c r="D727" s="97" t="s">
        <v>2934</v>
      </c>
      <c r="E727" s="86" t="s">
        <v>2968</v>
      </c>
      <c r="F727" s="85" t="s">
        <v>2833</v>
      </c>
    </row>
    <row r="728" spans="1:6" x14ac:dyDescent="0.25">
      <c r="A728" s="85" t="s">
        <v>2969</v>
      </c>
      <c r="B728" s="79" t="s">
        <v>2115</v>
      </c>
      <c r="C728" s="89" t="s">
        <v>2932</v>
      </c>
      <c r="D728" s="97" t="s">
        <v>2934</v>
      </c>
      <c r="E728" s="86" t="s">
        <v>2970</v>
      </c>
      <c r="F728" s="85" t="s">
        <v>2833</v>
      </c>
    </row>
    <row r="729" spans="1:6" x14ac:dyDescent="0.25">
      <c r="A729" s="85" t="s">
        <v>2971</v>
      </c>
      <c r="B729" s="79" t="s">
        <v>2115</v>
      </c>
      <c r="C729" s="89" t="s">
        <v>2932</v>
      </c>
      <c r="D729" s="97" t="s">
        <v>2934</v>
      </c>
      <c r="E729" s="86" t="s">
        <v>2972</v>
      </c>
      <c r="F729" s="85" t="s">
        <v>2833</v>
      </c>
    </row>
    <row r="730" spans="1:6" x14ac:dyDescent="0.25">
      <c r="A730" s="85" t="s">
        <v>2973</v>
      </c>
      <c r="B730" s="79" t="s">
        <v>2115</v>
      </c>
      <c r="C730" s="89" t="s">
        <v>2932</v>
      </c>
      <c r="D730" s="97" t="s">
        <v>2934</v>
      </c>
      <c r="E730" s="86" t="s">
        <v>2974</v>
      </c>
      <c r="F730" s="85" t="s">
        <v>2833</v>
      </c>
    </row>
    <row r="731" spans="1:6" x14ac:dyDescent="0.25">
      <c r="A731" s="85" t="s">
        <v>2975</v>
      </c>
      <c r="B731" s="79" t="s">
        <v>2115</v>
      </c>
      <c r="C731" s="89" t="s">
        <v>2932</v>
      </c>
      <c r="D731" s="97" t="s">
        <v>2934</v>
      </c>
      <c r="E731" s="86" t="s">
        <v>2976</v>
      </c>
      <c r="F731" s="85" t="s">
        <v>2833</v>
      </c>
    </row>
    <row r="732" spans="1:6" x14ac:dyDescent="0.25">
      <c r="A732" s="85" t="s">
        <v>2977</v>
      </c>
      <c r="B732" s="79" t="s">
        <v>2115</v>
      </c>
      <c r="C732" s="89" t="s">
        <v>2932</v>
      </c>
      <c r="D732" s="97" t="s">
        <v>2934</v>
      </c>
      <c r="E732" s="86" t="s">
        <v>2978</v>
      </c>
      <c r="F732" s="85" t="s">
        <v>2833</v>
      </c>
    </row>
    <row r="733" spans="1:6" x14ac:dyDescent="0.25">
      <c r="A733" s="85" t="s">
        <v>2979</v>
      </c>
      <c r="B733" s="79" t="s">
        <v>2115</v>
      </c>
      <c r="C733" s="89" t="s">
        <v>2932</v>
      </c>
      <c r="D733" s="97" t="s">
        <v>2934</v>
      </c>
      <c r="E733" s="86" t="s">
        <v>2980</v>
      </c>
      <c r="F733" s="85" t="s">
        <v>2833</v>
      </c>
    </row>
    <row r="734" spans="1:6" x14ac:dyDescent="0.25">
      <c r="A734" s="85" t="s">
        <v>2981</v>
      </c>
      <c r="B734" s="79" t="s">
        <v>2115</v>
      </c>
      <c r="C734" s="89" t="s">
        <v>2932</v>
      </c>
      <c r="D734" s="97" t="s">
        <v>2934</v>
      </c>
      <c r="E734" s="86" t="s">
        <v>2982</v>
      </c>
      <c r="F734" s="85" t="s">
        <v>2833</v>
      </c>
    </row>
    <row r="735" spans="1:6" x14ac:dyDescent="0.25">
      <c r="A735" s="85" t="s">
        <v>2983</v>
      </c>
      <c r="B735" s="79" t="s">
        <v>2115</v>
      </c>
      <c r="C735" s="89" t="s">
        <v>2932</v>
      </c>
      <c r="D735" s="97" t="s">
        <v>2934</v>
      </c>
      <c r="E735" s="86" t="s">
        <v>2984</v>
      </c>
      <c r="F735" s="85" t="s">
        <v>2833</v>
      </c>
    </row>
    <row r="736" spans="1:6" x14ac:dyDescent="0.25">
      <c r="A736" s="85" t="s">
        <v>2985</v>
      </c>
      <c r="B736" s="79" t="s">
        <v>2115</v>
      </c>
      <c r="C736" s="89" t="s">
        <v>2932</v>
      </c>
      <c r="D736" s="97" t="s">
        <v>2934</v>
      </c>
      <c r="E736" s="86" t="s">
        <v>2986</v>
      </c>
      <c r="F736" s="85" t="s">
        <v>2833</v>
      </c>
    </row>
    <row r="737" spans="1:6" x14ac:dyDescent="0.2">
      <c r="A737" s="96" t="s">
        <v>2987</v>
      </c>
      <c r="B737" s="79" t="s">
        <v>2115</v>
      </c>
      <c r="C737" s="89" t="s">
        <v>2932</v>
      </c>
      <c r="D737" s="97" t="s">
        <v>2988</v>
      </c>
      <c r="E737" s="97"/>
      <c r="F737" s="101"/>
    </row>
    <row r="738" spans="1:6" x14ac:dyDescent="0.25">
      <c r="A738" s="85" t="s">
        <v>2989</v>
      </c>
      <c r="B738" s="79" t="s">
        <v>2115</v>
      </c>
      <c r="C738" s="89" t="s">
        <v>2932</v>
      </c>
      <c r="D738" s="97" t="s">
        <v>2988</v>
      </c>
      <c r="E738" s="86" t="s">
        <v>2990</v>
      </c>
      <c r="F738" s="85" t="s">
        <v>2833</v>
      </c>
    </row>
    <row r="739" spans="1:6" x14ac:dyDescent="0.25">
      <c r="A739" s="85" t="s">
        <v>2991</v>
      </c>
      <c r="B739" s="79" t="s">
        <v>2115</v>
      </c>
      <c r="C739" s="89" t="s">
        <v>2932</v>
      </c>
      <c r="D739" s="97" t="s">
        <v>2988</v>
      </c>
      <c r="E739" s="86" t="s">
        <v>2992</v>
      </c>
      <c r="F739" s="85" t="s">
        <v>2833</v>
      </c>
    </row>
    <row r="740" spans="1:6" x14ac:dyDescent="0.25">
      <c r="A740" s="85" t="s">
        <v>2993</v>
      </c>
      <c r="B740" s="79" t="s">
        <v>2115</v>
      </c>
      <c r="C740" s="89" t="s">
        <v>2932</v>
      </c>
      <c r="D740" s="97" t="s">
        <v>2988</v>
      </c>
      <c r="E740" s="86" t="s">
        <v>2994</v>
      </c>
      <c r="F740" s="85" t="s">
        <v>2833</v>
      </c>
    </row>
    <row r="741" spans="1:6" x14ac:dyDescent="0.25">
      <c r="A741" s="85" t="s">
        <v>2995</v>
      </c>
      <c r="B741" s="79" t="s">
        <v>2115</v>
      </c>
      <c r="C741" s="89" t="s">
        <v>2932</v>
      </c>
      <c r="D741" s="97" t="s">
        <v>2988</v>
      </c>
      <c r="E741" s="86" t="s">
        <v>2996</v>
      </c>
      <c r="F741" s="85" t="s">
        <v>2833</v>
      </c>
    </row>
    <row r="742" spans="1:6" x14ac:dyDescent="0.25">
      <c r="A742" s="85" t="s">
        <v>2997</v>
      </c>
      <c r="B742" s="79" t="s">
        <v>2115</v>
      </c>
      <c r="C742" s="89" t="s">
        <v>2932</v>
      </c>
      <c r="D742" s="97" t="s">
        <v>2988</v>
      </c>
      <c r="E742" s="86" t="s">
        <v>2998</v>
      </c>
      <c r="F742" s="85" t="s">
        <v>2833</v>
      </c>
    </row>
    <row r="743" spans="1:6" x14ac:dyDescent="0.25">
      <c r="A743" s="85" t="s">
        <v>2999</v>
      </c>
      <c r="B743" s="79" t="s">
        <v>2115</v>
      </c>
      <c r="C743" s="89" t="s">
        <v>2932</v>
      </c>
      <c r="D743" s="97" t="s">
        <v>2988</v>
      </c>
      <c r="E743" s="86" t="s">
        <v>3000</v>
      </c>
      <c r="F743" s="85" t="s">
        <v>2833</v>
      </c>
    </row>
    <row r="744" spans="1:6" x14ac:dyDescent="0.25">
      <c r="A744" s="88" t="s">
        <v>3001</v>
      </c>
      <c r="B744" s="79" t="s">
        <v>2115</v>
      </c>
      <c r="C744" s="89" t="s">
        <v>3002</v>
      </c>
      <c r="D744" s="89"/>
      <c r="E744" s="89"/>
      <c r="F744" s="89"/>
    </row>
    <row r="745" spans="1:6" x14ac:dyDescent="0.2">
      <c r="A745" s="96" t="s">
        <v>3003</v>
      </c>
      <c r="B745" s="79" t="s">
        <v>2115</v>
      </c>
      <c r="C745" s="89" t="s">
        <v>3002</v>
      </c>
      <c r="D745" s="97" t="s">
        <v>3004</v>
      </c>
      <c r="E745" s="97"/>
      <c r="F745" s="101"/>
    </row>
    <row r="746" spans="1:6" x14ac:dyDescent="0.25">
      <c r="A746" s="85" t="s">
        <v>3005</v>
      </c>
      <c r="B746" s="79" t="s">
        <v>2115</v>
      </c>
      <c r="C746" s="89" t="s">
        <v>3002</v>
      </c>
      <c r="D746" s="97" t="s">
        <v>3004</v>
      </c>
      <c r="E746" s="86" t="s">
        <v>3006</v>
      </c>
      <c r="F746" s="85" t="s">
        <v>66</v>
      </c>
    </row>
    <row r="747" spans="1:6" x14ac:dyDescent="0.25">
      <c r="A747" s="85" t="s">
        <v>3007</v>
      </c>
      <c r="B747" s="79" t="s">
        <v>2115</v>
      </c>
      <c r="C747" s="89" t="s">
        <v>3002</v>
      </c>
      <c r="D747" s="97" t="s">
        <v>3004</v>
      </c>
      <c r="E747" s="86" t="s">
        <v>3008</v>
      </c>
      <c r="F747" s="85" t="s">
        <v>66</v>
      </c>
    </row>
    <row r="748" spans="1:6" x14ac:dyDescent="0.25">
      <c r="A748" s="85" t="s">
        <v>3009</v>
      </c>
      <c r="B748" s="79" t="s">
        <v>2115</v>
      </c>
      <c r="C748" s="89" t="s">
        <v>3002</v>
      </c>
      <c r="D748" s="97" t="s">
        <v>3004</v>
      </c>
      <c r="E748" s="86" t="s">
        <v>3010</v>
      </c>
      <c r="F748" s="85" t="s">
        <v>66</v>
      </c>
    </row>
    <row r="749" spans="1:6" x14ac:dyDescent="0.25">
      <c r="A749" s="85" t="s">
        <v>3011</v>
      </c>
      <c r="B749" s="79" t="s">
        <v>2115</v>
      </c>
      <c r="C749" s="89" t="s">
        <v>3002</v>
      </c>
      <c r="D749" s="97" t="s">
        <v>3004</v>
      </c>
      <c r="E749" s="86" t="s">
        <v>3012</v>
      </c>
      <c r="F749" s="85" t="s">
        <v>66</v>
      </c>
    </row>
    <row r="750" spans="1:6" x14ac:dyDescent="0.25">
      <c r="A750" s="85" t="s">
        <v>3013</v>
      </c>
      <c r="B750" s="79" t="s">
        <v>2115</v>
      </c>
      <c r="C750" s="89" t="s">
        <v>3002</v>
      </c>
      <c r="D750" s="97" t="s">
        <v>3004</v>
      </c>
      <c r="E750" s="86" t="s">
        <v>3014</v>
      </c>
      <c r="F750" s="85" t="s">
        <v>66</v>
      </c>
    </row>
    <row r="751" spans="1:6" x14ac:dyDescent="0.25">
      <c r="A751" s="90" t="s">
        <v>3015</v>
      </c>
      <c r="B751" s="91" t="s">
        <v>3016</v>
      </c>
      <c r="C751" s="91"/>
      <c r="D751" s="91"/>
      <c r="E751" s="91"/>
      <c r="F751" s="91"/>
    </row>
    <row r="752" spans="1:6" x14ac:dyDescent="0.25">
      <c r="A752" s="88" t="s">
        <v>3017</v>
      </c>
      <c r="B752" s="91" t="s">
        <v>3016</v>
      </c>
      <c r="C752" s="89" t="s">
        <v>3018</v>
      </c>
      <c r="D752" s="89"/>
      <c r="E752" s="89"/>
      <c r="F752" s="89"/>
    </row>
    <row r="753" spans="1:6" x14ac:dyDescent="0.2">
      <c r="A753" s="96" t="s">
        <v>3019</v>
      </c>
      <c r="B753" s="91" t="s">
        <v>3016</v>
      </c>
      <c r="C753" s="89" t="s">
        <v>3018</v>
      </c>
      <c r="D753" s="97" t="s">
        <v>3020</v>
      </c>
      <c r="E753" s="97"/>
      <c r="F753" s="101"/>
    </row>
    <row r="754" spans="1:6" x14ac:dyDescent="0.2">
      <c r="A754" s="85" t="s">
        <v>3021</v>
      </c>
      <c r="B754" s="91" t="s">
        <v>3016</v>
      </c>
      <c r="C754" s="89" t="s">
        <v>3018</v>
      </c>
      <c r="D754" s="97" t="s">
        <v>3020</v>
      </c>
      <c r="E754" s="86" t="s">
        <v>3022</v>
      </c>
      <c r="F754" s="92"/>
    </row>
    <row r="755" spans="1:6" x14ac:dyDescent="0.25">
      <c r="A755" s="88" t="s">
        <v>3023</v>
      </c>
      <c r="B755" s="91" t="s">
        <v>3016</v>
      </c>
      <c r="C755" s="89" t="s">
        <v>3024</v>
      </c>
      <c r="D755" s="89"/>
      <c r="E755" s="89"/>
      <c r="F755" s="89"/>
    </row>
    <row r="756" spans="1:6" x14ac:dyDescent="0.2">
      <c r="A756" s="96" t="s">
        <v>3025</v>
      </c>
      <c r="B756" s="91" t="s">
        <v>3016</v>
      </c>
      <c r="C756" s="89" t="s">
        <v>3024</v>
      </c>
      <c r="D756" s="97" t="s">
        <v>3026</v>
      </c>
      <c r="E756" s="97"/>
      <c r="F756" s="101"/>
    </row>
    <row r="757" spans="1:6" x14ac:dyDescent="0.2">
      <c r="A757" s="85" t="s">
        <v>3027</v>
      </c>
      <c r="B757" s="91" t="s">
        <v>3016</v>
      </c>
      <c r="C757" s="89" t="s">
        <v>3024</v>
      </c>
      <c r="D757" s="97" t="s">
        <v>3026</v>
      </c>
      <c r="E757" s="86" t="s">
        <v>3028</v>
      </c>
      <c r="F757" s="92"/>
    </row>
    <row r="758" spans="1:6" x14ac:dyDescent="0.25">
      <c r="A758" s="85" t="s">
        <v>3029</v>
      </c>
      <c r="B758" s="91" t="s">
        <v>3016</v>
      </c>
      <c r="C758" s="89" t="s">
        <v>3024</v>
      </c>
      <c r="D758" s="97" t="s">
        <v>3026</v>
      </c>
      <c r="E758" s="86" t="s">
        <v>3030</v>
      </c>
      <c r="F758" s="85" t="s">
        <v>2591</v>
      </c>
    </row>
    <row r="759" spans="1:6" x14ac:dyDescent="0.2">
      <c r="A759" s="96" t="s">
        <v>3031</v>
      </c>
      <c r="B759" s="91" t="s">
        <v>3016</v>
      </c>
      <c r="C759" s="89" t="s">
        <v>3024</v>
      </c>
      <c r="D759" s="97" t="s">
        <v>3032</v>
      </c>
      <c r="E759" s="97"/>
      <c r="F759" s="101"/>
    </row>
    <row r="760" spans="1:6" x14ac:dyDescent="0.2">
      <c r="A760" s="85" t="s">
        <v>3033</v>
      </c>
      <c r="B760" s="91" t="s">
        <v>3016</v>
      </c>
      <c r="C760" s="89" t="s">
        <v>3024</v>
      </c>
      <c r="D760" s="97" t="s">
        <v>3032</v>
      </c>
      <c r="E760" s="86" t="s">
        <v>3034</v>
      </c>
      <c r="F760" s="92"/>
    </row>
    <row r="761" spans="1:6" x14ac:dyDescent="0.2">
      <c r="A761" s="85" t="s">
        <v>3035</v>
      </c>
      <c r="B761" s="91" t="s">
        <v>3016</v>
      </c>
      <c r="C761" s="89" t="s">
        <v>3024</v>
      </c>
      <c r="D761" s="97" t="s">
        <v>3032</v>
      </c>
      <c r="E761" s="86" t="s">
        <v>3036</v>
      </c>
      <c r="F761" s="92"/>
    </row>
    <row r="762" spans="1:6" x14ac:dyDescent="0.25">
      <c r="A762" s="85" t="s">
        <v>3037</v>
      </c>
      <c r="B762" s="91" t="s">
        <v>3016</v>
      </c>
      <c r="C762" s="89" t="s">
        <v>3024</v>
      </c>
      <c r="D762" s="97" t="s">
        <v>3032</v>
      </c>
      <c r="E762" s="86" t="s">
        <v>3038</v>
      </c>
      <c r="F762" s="85" t="s">
        <v>66</v>
      </c>
    </row>
    <row r="763" spans="1:6" x14ac:dyDescent="0.2">
      <c r="A763" s="85" t="s">
        <v>3039</v>
      </c>
      <c r="B763" s="91" t="s">
        <v>3016</v>
      </c>
      <c r="C763" s="89" t="s">
        <v>3024</v>
      </c>
      <c r="D763" s="97" t="s">
        <v>3032</v>
      </c>
      <c r="E763" s="86" t="s">
        <v>3040</v>
      </c>
      <c r="F763" s="92"/>
    </row>
    <row r="764" spans="1:6" x14ac:dyDescent="0.2">
      <c r="A764" s="85" t="s">
        <v>3041</v>
      </c>
      <c r="B764" s="91" t="s">
        <v>3016</v>
      </c>
      <c r="C764" s="89" t="s">
        <v>3024</v>
      </c>
      <c r="D764" s="97" t="s">
        <v>3032</v>
      </c>
      <c r="E764" s="86" t="s">
        <v>3042</v>
      </c>
      <c r="F764" s="92"/>
    </row>
    <row r="765" spans="1:6" x14ac:dyDescent="0.25">
      <c r="A765" s="90" t="s">
        <v>3043</v>
      </c>
      <c r="B765" s="91" t="s">
        <v>3044</v>
      </c>
      <c r="C765" s="91"/>
      <c r="D765" s="91"/>
      <c r="E765" s="91"/>
      <c r="F765" s="91"/>
    </row>
    <row r="766" spans="1:6" x14ac:dyDescent="0.25">
      <c r="A766" s="88" t="s">
        <v>3045</v>
      </c>
      <c r="B766" s="91" t="s">
        <v>3044</v>
      </c>
      <c r="C766" s="89" t="s">
        <v>3046</v>
      </c>
      <c r="D766" s="89"/>
      <c r="E766" s="89"/>
      <c r="F766" s="89"/>
    </row>
    <row r="767" spans="1:6" x14ac:dyDescent="0.2">
      <c r="A767" s="85" t="s">
        <v>3047</v>
      </c>
      <c r="B767" s="91" t="s">
        <v>3044</v>
      </c>
      <c r="C767" s="89" t="s">
        <v>3046</v>
      </c>
      <c r="D767" s="85" t="s">
        <v>3048</v>
      </c>
      <c r="E767" s="87"/>
      <c r="F767" s="92"/>
    </row>
    <row r="768" spans="1:6" x14ac:dyDescent="0.2">
      <c r="A768" s="85" t="s">
        <v>3049</v>
      </c>
      <c r="B768" s="91" t="s">
        <v>3044</v>
      </c>
      <c r="C768" s="89" t="s">
        <v>3046</v>
      </c>
      <c r="D768" s="85" t="s">
        <v>3050</v>
      </c>
      <c r="E768" s="87"/>
      <c r="F768" s="92"/>
    </row>
    <row r="769" spans="1:6" x14ac:dyDescent="0.2">
      <c r="A769" s="85" t="s">
        <v>3051</v>
      </c>
      <c r="B769" s="91" t="s">
        <v>3044</v>
      </c>
      <c r="C769" s="89" t="s">
        <v>3046</v>
      </c>
      <c r="D769" s="85" t="s">
        <v>3052</v>
      </c>
      <c r="E769" s="87"/>
      <c r="F769" s="92"/>
    </row>
    <row r="770" spans="1:6" x14ac:dyDescent="0.2">
      <c r="A770" s="85" t="s">
        <v>3053</v>
      </c>
      <c r="B770" s="91" t="s">
        <v>3044</v>
      </c>
      <c r="C770" s="89" t="s">
        <v>3046</v>
      </c>
      <c r="D770" s="85" t="s">
        <v>3054</v>
      </c>
      <c r="E770" s="87"/>
      <c r="F770" s="92"/>
    </row>
    <row r="771" spans="1:6" x14ac:dyDescent="0.25">
      <c r="A771" s="88" t="s">
        <v>3055</v>
      </c>
      <c r="B771" s="91" t="s">
        <v>3044</v>
      </c>
      <c r="C771" s="89" t="s">
        <v>3056</v>
      </c>
      <c r="D771" s="89"/>
      <c r="E771" s="89"/>
      <c r="F771" s="89"/>
    </row>
    <row r="772" spans="1:6" x14ac:dyDescent="0.25">
      <c r="A772" s="96" t="s">
        <v>3057</v>
      </c>
      <c r="B772" s="91" t="s">
        <v>3044</v>
      </c>
      <c r="C772" s="89" t="s">
        <v>3056</v>
      </c>
      <c r="D772" s="97" t="s">
        <v>3058</v>
      </c>
      <c r="E772" s="97"/>
      <c r="F772" s="97"/>
    </row>
    <row r="773" spans="1:6" x14ac:dyDescent="0.25">
      <c r="A773" s="85" t="s">
        <v>3059</v>
      </c>
      <c r="B773" s="91" t="s">
        <v>3044</v>
      </c>
      <c r="C773" s="89" t="s">
        <v>3056</v>
      </c>
      <c r="D773" s="97" t="s">
        <v>3058</v>
      </c>
      <c r="E773" s="86" t="s">
        <v>3060</v>
      </c>
      <c r="F773" s="85" t="s">
        <v>109</v>
      </c>
    </row>
    <row r="774" spans="1:6" x14ac:dyDescent="0.25">
      <c r="A774" s="85" t="s">
        <v>3061</v>
      </c>
      <c r="B774" s="91" t="s">
        <v>3044</v>
      </c>
      <c r="C774" s="89" t="s">
        <v>3056</v>
      </c>
      <c r="D774" s="97" t="s">
        <v>3058</v>
      </c>
      <c r="E774" s="86" t="s">
        <v>3062</v>
      </c>
      <c r="F774" s="85" t="s">
        <v>109</v>
      </c>
    </row>
    <row r="775" spans="1:6" x14ac:dyDescent="0.25">
      <c r="A775" s="96" t="s">
        <v>3063</v>
      </c>
      <c r="B775" s="91" t="s">
        <v>3044</v>
      </c>
      <c r="C775" s="89" t="s">
        <v>3056</v>
      </c>
      <c r="D775" s="97" t="s">
        <v>3064</v>
      </c>
      <c r="E775" s="97"/>
      <c r="F775" s="97"/>
    </row>
    <row r="776" spans="1:6" x14ac:dyDescent="0.25">
      <c r="A776" s="85" t="s">
        <v>3065</v>
      </c>
      <c r="B776" s="91" t="s">
        <v>3044</v>
      </c>
      <c r="C776" s="89" t="s">
        <v>3056</v>
      </c>
      <c r="D776" s="97" t="s">
        <v>3064</v>
      </c>
      <c r="E776" s="86" t="s">
        <v>3066</v>
      </c>
      <c r="F776" s="85" t="s">
        <v>1556</v>
      </c>
    </row>
    <row r="777" spans="1:6" x14ac:dyDescent="0.2">
      <c r="A777" s="85" t="s">
        <v>3067</v>
      </c>
      <c r="B777" s="91" t="s">
        <v>3044</v>
      </c>
      <c r="C777" s="89" t="s">
        <v>3056</v>
      </c>
      <c r="D777" s="97" t="s">
        <v>3064</v>
      </c>
      <c r="E777" s="86" t="s">
        <v>3068</v>
      </c>
      <c r="F777" s="92"/>
    </row>
    <row r="778" spans="1:6" x14ac:dyDescent="0.25">
      <c r="A778" s="96" t="s">
        <v>3069</v>
      </c>
      <c r="B778" s="91" t="s">
        <v>3044</v>
      </c>
      <c r="C778" s="89" t="s">
        <v>3056</v>
      </c>
      <c r="D778" s="97" t="s">
        <v>3070</v>
      </c>
      <c r="E778" s="97"/>
      <c r="F778" s="97"/>
    </row>
    <row r="779" spans="1:6" x14ac:dyDescent="0.25">
      <c r="A779" s="85" t="s">
        <v>3071</v>
      </c>
      <c r="B779" s="91" t="s">
        <v>3044</v>
      </c>
      <c r="C779" s="89" t="s">
        <v>3056</v>
      </c>
      <c r="D779" s="97" t="s">
        <v>3070</v>
      </c>
      <c r="E779" s="86" t="s">
        <v>3072</v>
      </c>
      <c r="F779" s="85" t="s">
        <v>66</v>
      </c>
    </row>
    <row r="780" spans="1:6" x14ac:dyDescent="0.25">
      <c r="A780" s="88" t="s">
        <v>3073</v>
      </c>
      <c r="B780" s="91" t="s">
        <v>3044</v>
      </c>
      <c r="C780" s="89" t="s">
        <v>3074</v>
      </c>
      <c r="D780" s="89"/>
      <c r="E780" s="89"/>
      <c r="F780" s="89"/>
    </row>
    <row r="781" spans="1:6" x14ac:dyDescent="0.25">
      <c r="A781" s="96" t="s">
        <v>3075</v>
      </c>
      <c r="B781" s="91" t="s">
        <v>3044</v>
      </c>
      <c r="C781" s="89" t="s">
        <v>3074</v>
      </c>
      <c r="D781" s="97" t="s">
        <v>3076</v>
      </c>
      <c r="E781" s="97"/>
      <c r="F781" s="98" t="s">
        <v>3077</v>
      </c>
    </row>
    <row r="782" spans="1:6" x14ac:dyDescent="0.25">
      <c r="A782" s="85" t="s">
        <v>3078</v>
      </c>
      <c r="B782" s="91" t="s">
        <v>3044</v>
      </c>
      <c r="C782" s="89" t="s">
        <v>3074</v>
      </c>
      <c r="D782" s="97" t="s">
        <v>3076</v>
      </c>
      <c r="E782" s="86" t="s">
        <v>3079</v>
      </c>
      <c r="F782" s="85" t="s">
        <v>3077</v>
      </c>
    </row>
    <row r="783" spans="1:6" x14ac:dyDescent="0.25">
      <c r="A783" s="85" t="s">
        <v>3080</v>
      </c>
      <c r="B783" s="91" t="s">
        <v>3044</v>
      </c>
      <c r="C783" s="89" t="s">
        <v>3074</v>
      </c>
      <c r="D783" s="97" t="s">
        <v>3076</v>
      </c>
      <c r="E783" s="86" t="s">
        <v>3081</v>
      </c>
      <c r="F783" s="85" t="s">
        <v>3077</v>
      </c>
    </row>
    <row r="784" spans="1:6" x14ac:dyDescent="0.25">
      <c r="A784" s="85" t="s">
        <v>3082</v>
      </c>
      <c r="B784" s="91" t="s">
        <v>3044</v>
      </c>
      <c r="C784" s="89" t="s">
        <v>3074</v>
      </c>
      <c r="D784" s="97" t="s">
        <v>3076</v>
      </c>
      <c r="E784" s="86" t="s">
        <v>1846</v>
      </c>
      <c r="F784" s="85" t="s">
        <v>3077</v>
      </c>
    </row>
    <row r="785" spans="1:6" x14ac:dyDescent="0.25">
      <c r="A785" s="85" t="s">
        <v>3083</v>
      </c>
      <c r="B785" s="91" t="s">
        <v>3044</v>
      </c>
      <c r="C785" s="89" t="s">
        <v>3074</v>
      </c>
      <c r="D785" s="97" t="s">
        <v>3076</v>
      </c>
      <c r="E785" s="86" t="s">
        <v>3084</v>
      </c>
      <c r="F785" s="85" t="s">
        <v>3077</v>
      </c>
    </row>
    <row r="786" spans="1:6" x14ac:dyDescent="0.25">
      <c r="A786" s="85" t="s">
        <v>3085</v>
      </c>
      <c r="B786" s="91" t="s">
        <v>3044</v>
      </c>
      <c r="C786" s="89" t="s">
        <v>3074</v>
      </c>
      <c r="D786" s="97" t="s">
        <v>3076</v>
      </c>
      <c r="E786" s="86" t="s">
        <v>3086</v>
      </c>
      <c r="F786" s="85" t="s">
        <v>3077</v>
      </c>
    </row>
    <row r="787" spans="1:6" x14ac:dyDescent="0.25">
      <c r="A787" s="95" t="s">
        <v>3087</v>
      </c>
      <c r="B787" s="91" t="s">
        <v>3044</v>
      </c>
      <c r="C787" s="89" t="s">
        <v>3074</v>
      </c>
      <c r="D787" s="95" t="s">
        <v>3088</v>
      </c>
      <c r="E787" s="94"/>
      <c r="F787" s="102" t="s">
        <v>3089</v>
      </c>
    </row>
    <row r="788" spans="1:6" x14ac:dyDescent="0.25">
      <c r="A788" s="96" t="s">
        <v>3090</v>
      </c>
      <c r="B788" s="91" t="s">
        <v>3044</v>
      </c>
      <c r="C788" s="89" t="s">
        <v>3074</v>
      </c>
      <c r="D788" s="97" t="s">
        <v>3091</v>
      </c>
      <c r="E788" s="97"/>
      <c r="F788" s="97"/>
    </row>
    <row r="789" spans="1:6" x14ac:dyDescent="0.2">
      <c r="A789" s="85" t="s">
        <v>3092</v>
      </c>
      <c r="B789" s="91" t="s">
        <v>3044</v>
      </c>
      <c r="C789" s="89" t="s">
        <v>3074</v>
      </c>
      <c r="D789" s="97" t="s">
        <v>3091</v>
      </c>
      <c r="E789" s="86" t="s">
        <v>3093</v>
      </c>
      <c r="F789" s="92"/>
    </row>
    <row r="790" spans="1:6" x14ac:dyDescent="0.2">
      <c r="A790" s="85" t="s">
        <v>3094</v>
      </c>
      <c r="B790" s="91" t="s">
        <v>3044</v>
      </c>
      <c r="C790" s="89" t="s">
        <v>3074</v>
      </c>
      <c r="D790" s="97" t="s">
        <v>3091</v>
      </c>
      <c r="E790" s="86" t="s">
        <v>3095</v>
      </c>
      <c r="F790" s="92"/>
    </row>
    <row r="791" spans="1:6" x14ac:dyDescent="0.2">
      <c r="A791" s="85" t="s">
        <v>3096</v>
      </c>
      <c r="B791" s="91" t="s">
        <v>3044</v>
      </c>
      <c r="C791" s="89" t="s">
        <v>3074</v>
      </c>
      <c r="D791" s="97" t="s">
        <v>3091</v>
      </c>
      <c r="E791" s="86" t="s">
        <v>3097</v>
      </c>
      <c r="F791" s="92"/>
    </row>
    <row r="792" spans="1:6" x14ac:dyDescent="0.25">
      <c r="A792" s="95" t="s">
        <v>3098</v>
      </c>
      <c r="B792" s="91" t="s">
        <v>3044</v>
      </c>
      <c r="C792" s="89" t="s">
        <v>3074</v>
      </c>
      <c r="D792" s="97" t="s">
        <v>3091</v>
      </c>
      <c r="E792" s="107" t="s">
        <v>3099</v>
      </c>
      <c r="F792" s="93"/>
    </row>
    <row r="793" spans="1:6" x14ac:dyDescent="0.25">
      <c r="A793" s="95" t="s">
        <v>3100</v>
      </c>
      <c r="B793" s="91" t="s">
        <v>3044</v>
      </c>
      <c r="C793" s="89" t="s">
        <v>3074</v>
      </c>
      <c r="D793" s="97" t="s">
        <v>3091</v>
      </c>
      <c r="E793" s="107" t="s">
        <v>3101</v>
      </c>
      <c r="F793" s="93"/>
    </row>
    <row r="794" spans="1:6" x14ac:dyDescent="0.2">
      <c r="A794" s="85" t="s">
        <v>3102</v>
      </c>
      <c r="B794" s="91" t="s">
        <v>3044</v>
      </c>
      <c r="C794" s="89" t="s">
        <v>3074</v>
      </c>
      <c r="D794" s="97" t="s">
        <v>3091</v>
      </c>
      <c r="E794" s="86" t="s">
        <v>3103</v>
      </c>
      <c r="F794" s="92"/>
    </row>
    <row r="795" spans="1:6" x14ac:dyDescent="0.2">
      <c r="A795" s="85" t="s">
        <v>3104</v>
      </c>
      <c r="B795" s="91" t="s">
        <v>3044</v>
      </c>
      <c r="C795" s="89" t="s">
        <v>3074</v>
      </c>
      <c r="D795" s="85" t="s">
        <v>3105</v>
      </c>
      <c r="E795" s="87"/>
      <c r="F795" s="85" t="s">
        <v>3106</v>
      </c>
    </row>
    <row r="796" spans="1:6" x14ac:dyDescent="0.2">
      <c r="A796" s="85" t="s">
        <v>3107</v>
      </c>
      <c r="B796" s="91" t="s">
        <v>3044</v>
      </c>
      <c r="C796" s="89" t="s">
        <v>3074</v>
      </c>
      <c r="D796" s="85" t="s">
        <v>3108</v>
      </c>
      <c r="E796" s="87"/>
      <c r="F796" s="85" t="s">
        <v>3106</v>
      </c>
    </row>
    <row r="797" spans="1:6" x14ac:dyDescent="0.2">
      <c r="A797" s="85" t="s">
        <v>3109</v>
      </c>
      <c r="B797" s="91" t="s">
        <v>3044</v>
      </c>
      <c r="C797" s="89" t="s">
        <v>3074</v>
      </c>
      <c r="D797" s="85" t="s">
        <v>3110</v>
      </c>
      <c r="E797" s="87"/>
      <c r="F797" s="85" t="s">
        <v>3106</v>
      </c>
    </row>
    <row r="798" spans="1:6" x14ac:dyDescent="0.2">
      <c r="A798" s="85" t="s">
        <v>3111</v>
      </c>
      <c r="B798" s="91" t="s">
        <v>3044</v>
      </c>
      <c r="C798" s="89" t="s">
        <v>3074</v>
      </c>
      <c r="D798" s="85" t="s">
        <v>3112</v>
      </c>
      <c r="E798" s="87"/>
      <c r="F798" s="85" t="s">
        <v>3106</v>
      </c>
    </row>
    <row r="799" spans="1:6" x14ac:dyDescent="0.2">
      <c r="A799" s="85" t="s">
        <v>3113</v>
      </c>
      <c r="B799" s="91" t="s">
        <v>3044</v>
      </c>
      <c r="C799" s="89" t="s">
        <v>3074</v>
      </c>
      <c r="D799" s="85" t="s">
        <v>3114</v>
      </c>
      <c r="E799" s="87"/>
      <c r="F799" s="92"/>
    </row>
    <row r="800" spans="1:6" x14ac:dyDescent="0.2">
      <c r="A800" s="85" t="s">
        <v>3115</v>
      </c>
      <c r="B800" s="91" t="s">
        <v>3044</v>
      </c>
      <c r="C800" s="89" t="s">
        <v>3074</v>
      </c>
      <c r="D800" s="85" t="s">
        <v>3116</v>
      </c>
      <c r="E800" s="87"/>
      <c r="F800" s="92"/>
    </row>
    <row r="801" spans="1:6" x14ac:dyDescent="0.25">
      <c r="A801" s="96" t="s">
        <v>3117</v>
      </c>
      <c r="B801" s="91" t="s">
        <v>3044</v>
      </c>
      <c r="C801" s="89" t="s">
        <v>3074</v>
      </c>
      <c r="D801" s="97" t="s">
        <v>3118</v>
      </c>
      <c r="E801" s="97"/>
      <c r="F801" s="97"/>
    </row>
    <row r="802" spans="1:6" x14ac:dyDescent="0.2">
      <c r="A802" s="85" t="s">
        <v>3119</v>
      </c>
      <c r="B802" s="91" t="s">
        <v>3044</v>
      </c>
      <c r="C802" s="89" t="s">
        <v>3074</v>
      </c>
      <c r="D802" s="97" t="s">
        <v>3118</v>
      </c>
      <c r="E802" s="86" t="s">
        <v>3120</v>
      </c>
      <c r="F802" s="92"/>
    </row>
    <row r="803" spans="1:6" x14ac:dyDescent="0.25">
      <c r="A803" s="96" t="s">
        <v>3121</v>
      </c>
      <c r="B803" s="91" t="s">
        <v>3044</v>
      </c>
      <c r="C803" s="89" t="s">
        <v>3074</v>
      </c>
      <c r="D803" s="97" t="s">
        <v>3122</v>
      </c>
      <c r="E803" s="97"/>
      <c r="F803" s="97"/>
    </row>
    <row r="804" spans="1:6" x14ac:dyDescent="0.2">
      <c r="A804" s="85" t="s">
        <v>3123</v>
      </c>
      <c r="B804" s="91" t="s">
        <v>3044</v>
      </c>
      <c r="C804" s="89" t="s">
        <v>3074</v>
      </c>
      <c r="D804" s="97" t="s">
        <v>3122</v>
      </c>
      <c r="E804" s="86" t="s">
        <v>3124</v>
      </c>
      <c r="F804" s="92"/>
    </row>
    <row r="805" spans="1:6" x14ac:dyDescent="0.2">
      <c r="A805" s="85" t="s">
        <v>3125</v>
      </c>
      <c r="B805" s="91" t="s">
        <v>3044</v>
      </c>
      <c r="C805" s="89" t="s">
        <v>3074</v>
      </c>
      <c r="D805" s="97" t="s">
        <v>3122</v>
      </c>
      <c r="E805" s="86" t="s">
        <v>3126</v>
      </c>
      <c r="F805" s="92"/>
    </row>
    <row r="806" spans="1:6" x14ac:dyDescent="0.2">
      <c r="A806" s="85" t="s">
        <v>3127</v>
      </c>
      <c r="B806" s="91" t="s">
        <v>3044</v>
      </c>
      <c r="C806" s="89" t="s">
        <v>3074</v>
      </c>
      <c r="D806" s="85" t="s">
        <v>3128</v>
      </c>
      <c r="E806" s="87"/>
      <c r="F806" s="92"/>
    </row>
    <row r="807" spans="1:6" x14ac:dyDescent="0.2">
      <c r="A807" s="85" t="s">
        <v>248</v>
      </c>
      <c r="B807" s="91" t="s">
        <v>3044</v>
      </c>
      <c r="C807" s="89" t="s">
        <v>3074</v>
      </c>
      <c r="D807" s="85" t="s">
        <v>3129</v>
      </c>
      <c r="E807" s="87"/>
      <c r="F807" s="85" t="s">
        <v>142</v>
      </c>
    </row>
    <row r="808" spans="1:6" x14ac:dyDescent="0.2">
      <c r="A808" s="85" t="s">
        <v>3130</v>
      </c>
      <c r="B808" s="91" t="s">
        <v>3044</v>
      </c>
      <c r="C808" s="89" t="s">
        <v>3074</v>
      </c>
      <c r="D808" s="85" t="s">
        <v>3131</v>
      </c>
      <c r="E808" s="87"/>
      <c r="F808" s="85" t="s">
        <v>3106</v>
      </c>
    </row>
    <row r="809" spans="1:6" x14ac:dyDescent="0.25">
      <c r="A809" s="88" t="s">
        <v>3132</v>
      </c>
      <c r="B809" s="91" t="s">
        <v>3044</v>
      </c>
      <c r="C809" s="89" t="s">
        <v>3133</v>
      </c>
      <c r="D809" s="89"/>
      <c r="E809" s="89"/>
      <c r="F809" s="89"/>
    </row>
    <row r="810" spans="1:6" x14ac:dyDescent="0.25">
      <c r="A810" s="96" t="s">
        <v>3134</v>
      </c>
      <c r="B810" s="91" t="s">
        <v>3044</v>
      </c>
      <c r="C810" s="89" t="s">
        <v>3133</v>
      </c>
      <c r="D810" s="97" t="s">
        <v>3135</v>
      </c>
      <c r="E810" s="97"/>
      <c r="F810" s="97"/>
    </row>
    <row r="811" spans="1:6" x14ac:dyDescent="0.2">
      <c r="A811" s="85" t="s">
        <v>3136</v>
      </c>
      <c r="B811" s="91" t="s">
        <v>3044</v>
      </c>
      <c r="C811" s="89" t="s">
        <v>3133</v>
      </c>
      <c r="D811" s="97" t="s">
        <v>3135</v>
      </c>
      <c r="E811" s="86" t="s">
        <v>3137</v>
      </c>
      <c r="F811" s="92"/>
    </row>
    <row r="812" spans="1:6" x14ac:dyDescent="0.25">
      <c r="A812" s="88" t="s">
        <v>3138</v>
      </c>
      <c r="B812" s="91" t="s">
        <v>3044</v>
      </c>
      <c r="C812" s="89" t="s">
        <v>3139</v>
      </c>
      <c r="D812" s="89"/>
      <c r="E812" s="89"/>
      <c r="F812" s="100" t="s">
        <v>2727</v>
      </c>
    </row>
    <row r="813" spans="1:6" x14ac:dyDescent="0.2">
      <c r="A813" s="85" t="s">
        <v>3140</v>
      </c>
      <c r="B813" s="91" t="s">
        <v>3044</v>
      </c>
      <c r="C813" s="89" t="s">
        <v>3139</v>
      </c>
      <c r="D813" s="85" t="s">
        <v>3141</v>
      </c>
      <c r="E813" s="87"/>
      <c r="F813" s="85" t="s">
        <v>2727</v>
      </c>
    </row>
    <row r="814" spans="1:6" x14ac:dyDescent="0.2">
      <c r="A814" s="85" t="s">
        <v>3142</v>
      </c>
      <c r="B814" s="91" t="s">
        <v>3044</v>
      </c>
      <c r="C814" s="89" t="s">
        <v>3139</v>
      </c>
      <c r="D814" s="85" t="s">
        <v>3143</v>
      </c>
      <c r="E814" s="87"/>
      <c r="F814" s="85" t="s">
        <v>2727</v>
      </c>
    </row>
    <row r="815" spans="1:6" x14ac:dyDescent="0.2">
      <c r="A815" s="85" t="s">
        <v>3144</v>
      </c>
      <c r="B815" s="91" t="s">
        <v>3044</v>
      </c>
      <c r="C815" s="89" t="s">
        <v>3139</v>
      </c>
      <c r="D815" s="85" t="s">
        <v>3145</v>
      </c>
      <c r="E815" s="87"/>
      <c r="F815" s="85" t="s">
        <v>2727</v>
      </c>
    </row>
    <row r="816" spans="1:6" x14ac:dyDescent="0.2">
      <c r="A816" s="85" t="s">
        <v>3146</v>
      </c>
      <c r="B816" s="91" t="s">
        <v>3044</v>
      </c>
      <c r="C816" s="89" t="s">
        <v>3139</v>
      </c>
      <c r="D816" s="85" t="s">
        <v>3147</v>
      </c>
      <c r="E816" s="87"/>
      <c r="F816" s="85" t="s">
        <v>2727</v>
      </c>
    </row>
    <row r="817" spans="1:6" x14ac:dyDescent="0.2">
      <c r="A817" s="88" t="s">
        <v>3148</v>
      </c>
      <c r="B817" s="91" t="s">
        <v>3044</v>
      </c>
      <c r="C817" s="89" t="s">
        <v>3149</v>
      </c>
      <c r="D817" s="89"/>
      <c r="E817" s="89"/>
      <c r="F817" s="105"/>
    </row>
    <row r="818" spans="1:6" x14ac:dyDescent="0.2">
      <c r="A818" s="85" t="s">
        <v>3150</v>
      </c>
      <c r="B818" s="91" t="s">
        <v>3044</v>
      </c>
      <c r="C818" s="89" t="s">
        <v>3149</v>
      </c>
      <c r="D818" s="85" t="s">
        <v>3151</v>
      </c>
      <c r="E818" s="87"/>
      <c r="F818" s="85" t="s">
        <v>2374</v>
      </c>
    </row>
    <row r="819" spans="1:6" x14ac:dyDescent="0.2">
      <c r="A819" s="85" t="s">
        <v>3152</v>
      </c>
      <c r="B819" s="91" t="s">
        <v>3044</v>
      </c>
      <c r="C819" s="89" t="s">
        <v>3149</v>
      </c>
      <c r="D819" s="85" t="s">
        <v>3153</v>
      </c>
      <c r="E819" s="87"/>
      <c r="F819" s="85" t="s">
        <v>2374</v>
      </c>
    </row>
    <row r="820" spans="1:6" x14ac:dyDescent="0.2">
      <c r="A820" s="85" t="s">
        <v>3154</v>
      </c>
      <c r="B820" s="91" t="s">
        <v>3044</v>
      </c>
      <c r="C820" s="89" t="s">
        <v>3149</v>
      </c>
      <c r="D820" s="85" t="s">
        <v>3155</v>
      </c>
      <c r="E820" s="87"/>
      <c r="F820" s="85" t="s">
        <v>2374</v>
      </c>
    </row>
    <row r="821" spans="1:6" x14ac:dyDescent="0.25">
      <c r="A821" s="88" t="s">
        <v>3156</v>
      </c>
      <c r="B821" s="91" t="s">
        <v>3044</v>
      </c>
      <c r="C821" s="89" t="s">
        <v>3157</v>
      </c>
      <c r="D821" s="89"/>
      <c r="E821" s="89"/>
      <c r="F821" s="100" t="s">
        <v>2424</v>
      </c>
    </row>
    <row r="822" spans="1:6" x14ac:dyDescent="0.2">
      <c r="A822" s="85" t="s">
        <v>3158</v>
      </c>
      <c r="B822" s="91" t="s">
        <v>3044</v>
      </c>
      <c r="C822" s="89" t="s">
        <v>3157</v>
      </c>
      <c r="D822" s="85" t="s">
        <v>3159</v>
      </c>
      <c r="E822" s="87"/>
      <c r="F822" s="85" t="s">
        <v>2424</v>
      </c>
    </row>
    <row r="823" spans="1:6" x14ac:dyDescent="0.2">
      <c r="A823" s="85" t="s">
        <v>3160</v>
      </c>
      <c r="B823" s="91" t="s">
        <v>3044</v>
      </c>
      <c r="C823" s="89" t="s">
        <v>3157</v>
      </c>
      <c r="D823" s="85" t="s">
        <v>3161</v>
      </c>
      <c r="E823" s="87"/>
      <c r="F823" s="85" t="s">
        <v>2424</v>
      </c>
    </row>
    <row r="824" spans="1:6" x14ac:dyDescent="0.2">
      <c r="A824" s="85" t="s">
        <v>3162</v>
      </c>
      <c r="B824" s="91" t="s">
        <v>3044</v>
      </c>
      <c r="C824" s="89" t="s">
        <v>3157</v>
      </c>
      <c r="D824" s="85" t="s">
        <v>3163</v>
      </c>
      <c r="E824" s="87"/>
      <c r="F824" s="85" t="s">
        <v>2424</v>
      </c>
    </row>
    <row r="825" spans="1:6" x14ac:dyDescent="0.2">
      <c r="A825" s="85" t="s">
        <v>3164</v>
      </c>
      <c r="B825" s="91" t="s">
        <v>3044</v>
      </c>
      <c r="C825" s="89" t="s">
        <v>3157</v>
      </c>
      <c r="D825" s="85" t="s">
        <v>3165</v>
      </c>
      <c r="E825" s="87"/>
      <c r="F825" s="85" t="s">
        <v>2424</v>
      </c>
    </row>
    <row r="826" spans="1:6" x14ac:dyDescent="0.25">
      <c r="A826" s="88" t="s">
        <v>3166</v>
      </c>
      <c r="B826" s="91" t="s">
        <v>3044</v>
      </c>
      <c r="C826" s="89" t="s">
        <v>3167</v>
      </c>
      <c r="D826" s="89"/>
      <c r="E826" s="89"/>
      <c r="F826" s="100" t="s">
        <v>2411</v>
      </c>
    </row>
    <row r="827" spans="1:6" x14ac:dyDescent="0.2">
      <c r="A827" s="85" t="s">
        <v>3168</v>
      </c>
      <c r="B827" s="91" t="s">
        <v>3044</v>
      </c>
      <c r="C827" s="89" t="s">
        <v>3167</v>
      </c>
      <c r="D827" s="85" t="s">
        <v>3169</v>
      </c>
      <c r="E827" s="87"/>
      <c r="F827" s="85" t="s">
        <v>2411</v>
      </c>
    </row>
    <row r="828" spans="1:6" x14ac:dyDescent="0.2">
      <c r="A828" s="88" t="s">
        <v>3170</v>
      </c>
      <c r="B828" s="91" t="s">
        <v>3044</v>
      </c>
      <c r="C828" s="89" t="s">
        <v>2889</v>
      </c>
      <c r="D828" s="89"/>
      <c r="E828" s="89"/>
      <c r="F828" s="105"/>
    </row>
    <row r="829" spans="1:6" x14ac:dyDescent="0.25">
      <c r="A829" s="96" t="s">
        <v>3171</v>
      </c>
      <c r="B829" s="91" t="s">
        <v>3044</v>
      </c>
      <c r="C829" s="89" t="s">
        <v>2889</v>
      </c>
      <c r="D829" s="97" t="s">
        <v>3172</v>
      </c>
      <c r="E829" s="97"/>
      <c r="F829" s="97"/>
    </row>
    <row r="830" spans="1:6" x14ac:dyDescent="0.25">
      <c r="A830" s="85" t="s">
        <v>3173</v>
      </c>
      <c r="B830" s="91" t="s">
        <v>3044</v>
      </c>
      <c r="C830" s="89" t="s">
        <v>2889</v>
      </c>
      <c r="D830" s="97" t="s">
        <v>3172</v>
      </c>
      <c r="E830" s="86" t="s">
        <v>3174</v>
      </c>
      <c r="F830" s="85" t="s">
        <v>2627</v>
      </c>
    </row>
    <row r="831" spans="1:6" x14ac:dyDescent="0.25">
      <c r="A831" s="85" t="s">
        <v>3175</v>
      </c>
      <c r="B831" s="91" t="s">
        <v>3044</v>
      </c>
      <c r="C831" s="89" t="s">
        <v>2889</v>
      </c>
      <c r="D831" s="97" t="s">
        <v>3172</v>
      </c>
      <c r="E831" s="86" t="s">
        <v>3176</v>
      </c>
      <c r="F831" s="85" t="s">
        <v>2627</v>
      </c>
    </row>
    <row r="832" spans="1:6" x14ac:dyDescent="0.25">
      <c r="A832" s="85" t="s">
        <v>3177</v>
      </c>
      <c r="B832" s="91" t="s">
        <v>3044</v>
      </c>
      <c r="C832" s="89" t="s">
        <v>2889</v>
      </c>
      <c r="D832" s="97" t="s">
        <v>3172</v>
      </c>
      <c r="E832" s="86" t="s">
        <v>3178</v>
      </c>
      <c r="F832" s="85" t="s">
        <v>2627</v>
      </c>
    </row>
    <row r="833" spans="1:6" x14ac:dyDescent="0.25">
      <c r="A833" s="85" t="s">
        <v>3179</v>
      </c>
      <c r="B833" s="91" t="s">
        <v>3044</v>
      </c>
      <c r="C833" s="89" t="s">
        <v>2889</v>
      </c>
      <c r="D833" s="97" t="s">
        <v>3172</v>
      </c>
      <c r="E833" s="86" t="s">
        <v>3180</v>
      </c>
      <c r="F833" s="85" t="s">
        <v>2627</v>
      </c>
    </row>
    <row r="834" spans="1:6" x14ac:dyDescent="0.25">
      <c r="A834" s="85" t="s">
        <v>3181</v>
      </c>
      <c r="B834" s="91" t="s">
        <v>3044</v>
      </c>
      <c r="C834" s="89" t="s">
        <v>2889</v>
      </c>
      <c r="D834" s="97" t="s">
        <v>3172</v>
      </c>
      <c r="E834" s="86" t="s">
        <v>3182</v>
      </c>
      <c r="F834" s="85" t="s">
        <v>2627</v>
      </c>
    </row>
    <row r="835" spans="1:6" x14ac:dyDescent="0.25">
      <c r="A835" s="90" t="s">
        <v>3183</v>
      </c>
      <c r="B835" s="91" t="s">
        <v>3184</v>
      </c>
      <c r="C835" s="91"/>
      <c r="D835" s="91"/>
      <c r="E835" s="91"/>
      <c r="F835" s="91"/>
    </row>
    <row r="836" spans="1:6" x14ac:dyDescent="0.25">
      <c r="A836" s="88" t="s">
        <v>3185</v>
      </c>
      <c r="B836" s="91" t="s">
        <v>3184</v>
      </c>
      <c r="C836" s="89" t="s">
        <v>3186</v>
      </c>
      <c r="D836" s="89"/>
      <c r="E836" s="89"/>
      <c r="F836" s="89"/>
    </row>
    <row r="837" spans="1:6" x14ac:dyDescent="0.2">
      <c r="A837" s="85" t="s">
        <v>3187</v>
      </c>
      <c r="B837" s="91" t="s">
        <v>3184</v>
      </c>
      <c r="C837" s="89" t="s">
        <v>3186</v>
      </c>
      <c r="D837" s="85" t="s">
        <v>3048</v>
      </c>
      <c r="E837" s="87"/>
      <c r="F837" s="92"/>
    </row>
    <row r="838" spans="1:6" x14ac:dyDescent="0.2">
      <c r="A838" s="85" t="s">
        <v>3188</v>
      </c>
      <c r="B838" s="91" t="s">
        <v>3184</v>
      </c>
      <c r="C838" s="89" t="s">
        <v>3186</v>
      </c>
      <c r="D838" s="85" t="s">
        <v>3050</v>
      </c>
      <c r="E838" s="87"/>
      <c r="F838" s="92"/>
    </row>
    <row r="839" spans="1:6" x14ac:dyDescent="0.2">
      <c r="A839" s="85" t="s">
        <v>3189</v>
      </c>
      <c r="B839" s="91" t="s">
        <v>3184</v>
      </c>
      <c r="C839" s="89" t="s">
        <v>3186</v>
      </c>
      <c r="D839" s="85" t="s">
        <v>3052</v>
      </c>
      <c r="E839" s="87"/>
      <c r="F839" s="92"/>
    </row>
    <row r="840" spans="1:6" x14ac:dyDescent="0.2">
      <c r="A840" s="85" t="s">
        <v>3190</v>
      </c>
      <c r="B840" s="91" t="s">
        <v>3184</v>
      </c>
      <c r="C840" s="89" t="s">
        <v>3186</v>
      </c>
      <c r="D840" s="85" t="s">
        <v>3054</v>
      </c>
      <c r="E840" s="87"/>
      <c r="F840" s="92"/>
    </row>
    <row r="841" spans="1:6" x14ac:dyDescent="0.25">
      <c r="A841" s="85" t="s">
        <v>3191</v>
      </c>
      <c r="B841" s="91" t="s">
        <v>3184</v>
      </c>
      <c r="C841" s="89" t="s">
        <v>3192</v>
      </c>
      <c r="D841" s="89"/>
      <c r="E841" s="89"/>
      <c r="F841" s="100" t="s">
        <v>3193</v>
      </c>
    </row>
    <row r="842" spans="1:6" x14ac:dyDescent="0.25">
      <c r="A842" s="88" t="s">
        <v>3194</v>
      </c>
      <c r="B842" s="91" t="s">
        <v>3184</v>
      </c>
      <c r="C842" s="89" t="s">
        <v>3195</v>
      </c>
      <c r="D842" s="89"/>
      <c r="E842" s="89"/>
      <c r="F842" s="100" t="s">
        <v>3196</v>
      </c>
    </row>
    <row r="843" spans="1:6" x14ac:dyDescent="0.2">
      <c r="A843" s="85" t="s">
        <v>3197</v>
      </c>
      <c r="B843" s="91" t="s">
        <v>3184</v>
      </c>
      <c r="C843" s="89" t="s">
        <v>3195</v>
      </c>
      <c r="D843" s="85" t="s">
        <v>3198</v>
      </c>
      <c r="E843" s="87"/>
      <c r="F843" s="92"/>
    </row>
    <row r="844" spans="1:6" x14ac:dyDescent="0.2">
      <c r="A844" s="85" t="s">
        <v>3199</v>
      </c>
      <c r="B844" s="91" t="s">
        <v>3184</v>
      </c>
      <c r="C844" s="89" t="s">
        <v>3195</v>
      </c>
      <c r="D844" s="85" t="s">
        <v>3200</v>
      </c>
      <c r="E844" s="87"/>
      <c r="F844" s="92"/>
    </row>
    <row r="845" spans="1:6" x14ac:dyDescent="0.2">
      <c r="A845" s="85" t="s">
        <v>3201</v>
      </c>
      <c r="B845" s="91" t="s">
        <v>3184</v>
      </c>
      <c r="C845" s="89" t="s">
        <v>3195</v>
      </c>
      <c r="D845" s="85" t="s">
        <v>3202</v>
      </c>
      <c r="E845" s="87"/>
      <c r="F845" s="92"/>
    </row>
    <row r="846" spans="1:6" x14ac:dyDescent="0.2">
      <c r="A846" s="85" t="s">
        <v>3203</v>
      </c>
      <c r="B846" s="91" t="s">
        <v>3184</v>
      </c>
      <c r="C846" s="89" t="s">
        <v>3195</v>
      </c>
      <c r="D846" s="85" t="s">
        <v>3204</v>
      </c>
      <c r="E846" s="87"/>
      <c r="F846" s="92"/>
    </row>
    <row r="847" spans="1:6" x14ac:dyDescent="0.2">
      <c r="A847" s="85" t="s">
        <v>3205</v>
      </c>
      <c r="B847" s="91" t="s">
        <v>3184</v>
      </c>
      <c r="C847" s="89" t="s">
        <v>3195</v>
      </c>
      <c r="D847" s="85" t="s">
        <v>3206</v>
      </c>
      <c r="E847" s="87"/>
      <c r="F847" s="92"/>
    </row>
    <row r="848" spans="1:6" x14ac:dyDescent="0.2">
      <c r="A848" s="85" t="s">
        <v>3207</v>
      </c>
      <c r="B848" s="91" t="s">
        <v>3184</v>
      </c>
      <c r="C848" s="89" t="s">
        <v>3195</v>
      </c>
      <c r="D848" s="85" t="s">
        <v>3208</v>
      </c>
      <c r="E848" s="87"/>
      <c r="F848" s="92"/>
    </row>
    <row r="849" spans="1:6" x14ac:dyDescent="0.2">
      <c r="A849" s="85" t="s">
        <v>3209</v>
      </c>
      <c r="B849" s="91" t="s">
        <v>3184</v>
      </c>
      <c r="C849" s="89" t="s">
        <v>3195</v>
      </c>
      <c r="D849" s="85" t="s">
        <v>3210</v>
      </c>
      <c r="E849" s="87"/>
      <c r="F849" s="92"/>
    </row>
    <row r="850" spans="1:6" x14ac:dyDescent="0.2">
      <c r="A850" s="85" t="s">
        <v>3211</v>
      </c>
      <c r="B850" s="91" t="s">
        <v>3184</v>
      </c>
      <c r="C850" s="89" t="s">
        <v>3195</v>
      </c>
      <c r="D850" s="85" t="s">
        <v>3212</v>
      </c>
      <c r="E850" s="87"/>
      <c r="F850" s="92"/>
    </row>
    <row r="851" spans="1:6" x14ac:dyDescent="0.2">
      <c r="A851" s="85" t="s">
        <v>3213</v>
      </c>
      <c r="B851" s="91" t="s">
        <v>3184</v>
      </c>
      <c r="C851" s="89" t="s">
        <v>3195</v>
      </c>
      <c r="D851" s="85" t="s">
        <v>3214</v>
      </c>
      <c r="E851" s="87"/>
      <c r="F851" s="92"/>
    </row>
    <row r="852" spans="1:6" x14ac:dyDescent="0.2">
      <c r="A852" s="85" t="s">
        <v>3215</v>
      </c>
      <c r="B852" s="91" t="s">
        <v>3184</v>
      </c>
      <c r="C852" s="89" t="s">
        <v>3195</v>
      </c>
      <c r="D852" s="85" t="s">
        <v>1787</v>
      </c>
      <c r="E852" s="87"/>
      <c r="F852" s="85" t="s">
        <v>1697</v>
      </c>
    </row>
    <row r="853" spans="1:6" x14ac:dyDescent="0.2">
      <c r="A853" s="85" t="s">
        <v>3216</v>
      </c>
      <c r="B853" s="91" t="s">
        <v>3184</v>
      </c>
      <c r="C853" s="89" t="s">
        <v>3195</v>
      </c>
      <c r="D853" s="85" t="s">
        <v>3217</v>
      </c>
      <c r="E853" s="87"/>
      <c r="F853" s="85" t="s">
        <v>1697</v>
      </c>
    </row>
    <row r="854" spans="1:6" x14ac:dyDescent="0.25">
      <c r="A854" s="88" t="s">
        <v>3218</v>
      </c>
      <c r="B854" s="91" t="s">
        <v>3184</v>
      </c>
      <c r="C854" s="89" t="s">
        <v>3219</v>
      </c>
      <c r="D854" s="89"/>
      <c r="E854" s="89"/>
      <c r="F854" s="100" t="s">
        <v>3220</v>
      </c>
    </row>
    <row r="855" spans="1:6" x14ac:dyDescent="0.25">
      <c r="A855" s="96" t="s">
        <v>3221</v>
      </c>
      <c r="B855" s="91" t="s">
        <v>3184</v>
      </c>
      <c r="C855" s="89" t="s">
        <v>3219</v>
      </c>
      <c r="D855" s="97" t="s">
        <v>3222</v>
      </c>
      <c r="E855" s="97"/>
      <c r="F855" s="98" t="s">
        <v>3223</v>
      </c>
    </row>
    <row r="856" spans="1:6" x14ac:dyDescent="0.25">
      <c r="A856" s="85" t="s">
        <v>3224</v>
      </c>
      <c r="B856" s="91" t="s">
        <v>3184</v>
      </c>
      <c r="C856" s="89" t="s">
        <v>3219</v>
      </c>
      <c r="D856" s="97" t="s">
        <v>3222</v>
      </c>
      <c r="E856" s="86" t="s">
        <v>3225</v>
      </c>
      <c r="F856" s="85" t="s">
        <v>3223</v>
      </c>
    </row>
    <row r="857" spans="1:6" x14ac:dyDescent="0.25">
      <c r="A857" s="85" t="s">
        <v>3226</v>
      </c>
      <c r="B857" s="91" t="s">
        <v>3184</v>
      </c>
      <c r="C857" s="89" t="s">
        <v>3219</v>
      </c>
      <c r="D857" s="97" t="s">
        <v>3222</v>
      </c>
      <c r="E857" s="86" t="s">
        <v>3227</v>
      </c>
      <c r="F857" s="85" t="s">
        <v>3223</v>
      </c>
    </row>
    <row r="858" spans="1:6" x14ac:dyDescent="0.25">
      <c r="A858" s="85" t="s">
        <v>3228</v>
      </c>
      <c r="B858" s="91" t="s">
        <v>3184</v>
      </c>
      <c r="C858" s="89" t="s">
        <v>3219</v>
      </c>
      <c r="D858" s="97" t="s">
        <v>3222</v>
      </c>
      <c r="E858" s="86" t="s">
        <v>3229</v>
      </c>
      <c r="F858" s="85" t="s">
        <v>3223</v>
      </c>
    </row>
    <row r="859" spans="1:6" x14ac:dyDescent="0.25">
      <c r="A859" s="85" t="s">
        <v>3230</v>
      </c>
      <c r="B859" s="91" t="s">
        <v>3184</v>
      </c>
      <c r="C859" s="89" t="s">
        <v>3219</v>
      </c>
      <c r="D859" s="97" t="s">
        <v>3222</v>
      </c>
      <c r="E859" s="86" t="s">
        <v>3231</v>
      </c>
      <c r="F859" s="85" t="s">
        <v>3223</v>
      </c>
    </row>
    <row r="860" spans="1:6" x14ac:dyDescent="0.25">
      <c r="A860" s="85" t="s">
        <v>3232</v>
      </c>
      <c r="B860" s="91" t="s">
        <v>3184</v>
      </c>
      <c r="C860" s="89" t="s">
        <v>3219</v>
      </c>
      <c r="D860" s="97" t="s">
        <v>3222</v>
      </c>
      <c r="E860" s="86" t="s">
        <v>3233</v>
      </c>
      <c r="F860" s="85" t="s">
        <v>3223</v>
      </c>
    </row>
    <row r="861" spans="1:6" x14ac:dyDescent="0.2">
      <c r="A861" s="85" t="s">
        <v>3234</v>
      </c>
      <c r="B861" s="91" t="s">
        <v>3184</v>
      </c>
      <c r="C861" s="89" t="s">
        <v>3219</v>
      </c>
      <c r="D861" s="85" t="s">
        <v>3235</v>
      </c>
      <c r="E861" s="87"/>
      <c r="F861" s="85" t="s">
        <v>3223</v>
      </c>
    </row>
    <row r="862" spans="1:6" x14ac:dyDescent="0.2">
      <c r="A862" s="85" t="s">
        <v>3236</v>
      </c>
      <c r="B862" s="91" t="s">
        <v>3184</v>
      </c>
      <c r="C862" s="89" t="s">
        <v>3219</v>
      </c>
      <c r="D862" s="85" t="s">
        <v>3237</v>
      </c>
      <c r="E862" s="87"/>
      <c r="F862" s="85" t="s">
        <v>3223</v>
      </c>
    </row>
    <row r="863" spans="1:6" x14ac:dyDescent="0.2">
      <c r="A863" s="85" t="s">
        <v>3238</v>
      </c>
      <c r="B863" s="91" t="s">
        <v>3184</v>
      </c>
      <c r="C863" s="89" t="s">
        <v>3219</v>
      </c>
      <c r="D863" s="85" t="s">
        <v>3239</v>
      </c>
      <c r="E863" s="87"/>
      <c r="F863" s="85" t="s">
        <v>3223</v>
      </c>
    </row>
    <row r="864" spans="1:6" x14ac:dyDescent="0.2">
      <c r="A864" s="85" t="s">
        <v>3240</v>
      </c>
      <c r="B864" s="91" t="s">
        <v>3184</v>
      </c>
      <c r="C864" s="89" t="s">
        <v>3219</v>
      </c>
      <c r="D864" s="85" t="s">
        <v>3241</v>
      </c>
      <c r="E864" s="87"/>
      <c r="F864" s="85" t="s">
        <v>3223</v>
      </c>
    </row>
    <row r="865" spans="1:6" x14ac:dyDescent="0.2">
      <c r="A865" s="85" t="s">
        <v>3242</v>
      </c>
      <c r="B865" s="91" t="s">
        <v>3184</v>
      </c>
      <c r="C865" s="89" t="s">
        <v>3219</v>
      </c>
      <c r="D865" s="85" t="s">
        <v>3243</v>
      </c>
      <c r="E865" s="87"/>
      <c r="F865" s="85" t="s">
        <v>3223</v>
      </c>
    </row>
    <row r="866" spans="1:6" x14ac:dyDescent="0.2">
      <c r="A866" s="85" t="s">
        <v>3244</v>
      </c>
      <c r="B866" s="91" t="s">
        <v>3184</v>
      </c>
      <c r="C866" s="89" t="s">
        <v>3219</v>
      </c>
      <c r="D866" s="85" t="s">
        <v>3245</v>
      </c>
      <c r="E866" s="87"/>
      <c r="F866" s="85" t="s">
        <v>3223</v>
      </c>
    </row>
    <row r="867" spans="1:6" x14ac:dyDescent="0.2">
      <c r="A867" s="85" t="s">
        <v>3246</v>
      </c>
      <c r="B867" s="91" t="s">
        <v>3184</v>
      </c>
      <c r="C867" s="89" t="s">
        <v>3219</v>
      </c>
      <c r="D867" s="85" t="s">
        <v>3247</v>
      </c>
      <c r="E867" s="87"/>
      <c r="F867" s="85" t="s">
        <v>3223</v>
      </c>
    </row>
    <row r="868" spans="1:6" x14ac:dyDescent="0.2">
      <c r="A868" s="85" t="s">
        <v>3248</v>
      </c>
      <c r="B868" s="91" t="s">
        <v>3184</v>
      </c>
      <c r="C868" s="89" t="s">
        <v>3219</v>
      </c>
      <c r="D868" s="85" t="s">
        <v>3249</v>
      </c>
      <c r="E868" s="87"/>
      <c r="F868" s="85" t="s">
        <v>3223</v>
      </c>
    </row>
    <row r="869" spans="1:6" x14ac:dyDescent="0.2">
      <c r="A869" s="96" t="s">
        <v>3250</v>
      </c>
      <c r="B869" s="91" t="s">
        <v>3184</v>
      </c>
      <c r="C869" s="89" t="s">
        <v>3219</v>
      </c>
      <c r="D869" s="96" t="s">
        <v>3251</v>
      </c>
      <c r="E869" s="99"/>
      <c r="F869" s="98" t="s">
        <v>3223</v>
      </c>
    </row>
    <row r="870" spans="1:6" x14ac:dyDescent="0.25">
      <c r="A870" s="85" t="s">
        <v>3252</v>
      </c>
      <c r="B870" s="91" t="s">
        <v>3184</v>
      </c>
      <c r="C870" s="89" t="s">
        <v>3219</v>
      </c>
      <c r="D870" s="96" t="s">
        <v>3251</v>
      </c>
      <c r="E870" s="86" t="s">
        <v>3253</v>
      </c>
      <c r="F870" s="85" t="s">
        <v>3223</v>
      </c>
    </row>
    <row r="871" spans="1:6" x14ac:dyDescent="0.25">
      <c r="A871" s="85" t="s">
        <v>3254</v>
      </c>
      <c r="B871" s="91" t="s">
        <v>3184</v>
      </c>
      <c r="C871" s="89" t="s">
        <v>3219</v>
      </c>
      <c r="D871" s="96" t="s">
        <v>3251</v>
      </c>
      <c r="E871" s="86" t="s">
        <v>3255</v>
      </c>
      <c r="F871" s="95" t="s">
        <v>3223</v>
      </c>
    </row>
    <row r="872" spans="1:6" x14ac:dyDescent="0.25">
      <c r="A872" s="85" t="s">
        <v>3256</v>
      </c>
      <c r="B872" s="91" t="s">
        <v>3184</v>
      </c>
      <c r="C872" s="89" t="s">
        <v>3219</v>
      </c>
      <c r="D872" s="96" t="s">
        <v>3251</v>
      </c>
      <c r="E872" s="86" t="s">
        <v>3257</v>
      </c>
      <c r="F872" s="85" t="s">
        <v>3223</v>
      </c>
    </row>
    <row r="873" spans="1:6" x14ac:dyDescent="0.2">
      <c r="A873" s="85" t="s">
        <v>3258</v>
      </c>
      <c r="B873" s="91" t="s">
        <v>3184</v>
      </c>
      <c r="C873" s="89" t="s">
        <v>3219</v>
      </c>
      <c r="D873" s="85" t="s">
        <v>3259</v>
      </c>
      <c r="E873" s="87"/>
      <c r="F873" s="85" t="s">
        <v>3223</v>
      </c>
    </row>
    <row r="874" spans="1:6" x14ac:dyDescent="0.2">
      <c r="A874" s="85" t="s">
        <v>3260</v>
      </c>
      <c r="B874" s="91" t="s">
        <v>3184</v>
      </c>
      <c r="C874" s="89" t="s">
        <v>3219</v>
      </c>
      <c r="D874" s="85" t="s">
        <v>3261</v>
      </c>
      <c r="E874" s="87"/>
      <c r="F874" s="85" t="s">
        <v>3223</v>
      </c>
    </row>
    <row r="875" spans="1:6" x14ac:dyDescent="0.2">
      <c r="A875" s="85" t="s">
        <v>3262</v>
      </c>
      <c r="B875" s="91" t="s">
        <v>3184</v>
      </c>
      <c r="C875" s="89" t="s">
        <v>3219</v>
      </c>
      <c r="D875" s="85" t="s">
        <v>3263</v>
      </c>
      <c r="E875" s="87"/>
      <c r="F875" s="85" t="s">
        <v>3223</v>
      </c>
    </row>
    <row r="876" spans="1:6" x14ac:dyDescent="0.25">
      <c r="A876" s="88" t="s">
        <v>3264</v>
      </c>
      <c r="B876" s="91" t="s">
        <v>3184</v>
      </c>
      <c r="C876" s="89" t="s">
        <v>3265</v>
      </c>
      <c r="D876" s="89"/>
      <c r="E876" s="89"/>
      <c r="F876" s="89"/>
    </row>
    <row r="877" spans="1:6" x14ac:dyDescent="0.2">
      <c r="A877" s="85" t="s">
        <v>3266</v>
      </c>
      <c r="B877" s="91" t="s">
        <v>3184</v>
      </c>
      <c r="C877" s="89" t="s">
        <v>3265</v>
      </c>
      <c r="D877" s="85" t="s">
        <v>3267</v>
      </c>
      <c r="E877" s="87"/>
      <c r="F877" s="92"/>
    </row>
    <row r="878" spans="1:6" x14ac:dyDescent="0.2">
      <c r="A878" s="85" t="s">
        <v>3268</v>
      </c>
      <c r="B878" s="91" t="s">
        <v>3184</v>
      </c>
      <c r="C878" s="89" t="s">
        <v>3265</v>
      </c>
      <c r="D878" s="85" t="s">
        <v>3269</v>
      </c>
      <c r="E878" s="87"/>
      <c r="F878" s="85" t="s">
        <v>3270</v>
      </c>
    </row>
    <row r="879" spans="1:6" x14ac:dyDescent="0.25">
      <c r="A879" s="88" t="s">
        <v>3271</v>
      </c>
      <c r="B879" s="91" t="s">
        <v>3184</v>
      </c>
      <c r="C879" s="89" t="s">
        <v>3133</v>
      </c>
      <c r="D879" s="89"/>
      <c r="E879" s="89"/>
      <c r="F879" s="89"/>
    </row>
    <row r="880" spans="1:6" x14ac:dyDescent="0.25">
      <c r="A880" s="96" t="s">
        <v>3272</v>
      </c>
      <c r="B880" s="91" t="s">
        <v>3184</v>
      </c>
      <c r="C880" s="89" t="s">
        <v>3133</v>
      </c>
      <c r="D880" s="97" t="s">
        <v>3273</v>
      </c>
      <c r="E880" s="97"/>
      <c r="F880" s="97"/>
    </row>
    <row r="881" spans="1:6" x14ac:dyDescent="0.2">
      <c r="A881" s="85" t="s">
        <v>3274</v>
      </c>
      <c r="B881" s="91" t="s">
        <v>3184</v>
      </c>
      <c r="C881" s="89" t="s">
        <v>3133</v>
      </c>
      <c r="D881" s="97" t="s">
        <v>3273</v>
      </c>
      <c r="E881" s="86" t="s">
        <v>3275</v>
      </c>
      <c r="F881" s="92"/>
    </row>
    <row r="882" spans="1:6" x14ac:dyDescent="0.2">
      <c r="A882" s="85" t="s">
        <v>3276</v>
      </c>
      <c r="B882" s="91" t="s">
        <v>3184</v>
      </c>
      <c r="C882" s="89" t="s">
        <v>3133</v>
      </c>
      <c r="D882" s="97" t="s">
        <v>3273</v>
      </c>
      <c r="E882" s="86" t="s">
        <v>3277</v>
      </c>
      <c r="F882" s="92"/>
    </row>
    <row r="883" spans="1:6" x14ac:dyDescent="0.2">
      <c r="A883" s="85" t="s">
        <v>3278</v>
      </c>
      <c r="B883" s="91" t="s">
        <v>3184</v>
      </c>
      <c r="C883" s="89" t="s">
        <v>3133</v>
      </c>
      <c r="D883" s="97" t="s">
        <v>3273</v>
      </c>
      <c r="E883" s="86" t="s">
        <v>3279</v>
      </c>
      <c r="F883" s="92"/>
    </row>
    <row r="884" spans="1:6" x14ac:dyDescent="0.25">
      <c r="A884" s="96" t="s">
        <v>3280</v>
      </c>
      <c r="B884" s="91" t="s">
        <v>3184</v>
      </c>
      <c r="C884" s="89" t="s">
        <v>3133</v>
      </c>
      <c r="D884" s="97" t="s">
        <v>3281</v>
      </c>
      <c r="E884" s="97"/>
      <c r="F884" s="98" t="s">
        <v>66</v>
      </c>
    </row>
    <row r="885" spans="1:6" x14ac:dyDescent="0.25">
      <c r="A885" s="85" t="s">
        <v>3282</v>
      </c>
      <c r="B885" s="91" t="s">
        <v>3184</v>
      </c>
      <c r="C885" s="89" t="s">
        <v>3133</v>
      </c>
      <c r="D885" s="97" t="s">
        <v>3281</v>
      </c>
      <c r="E885" s="86" t="s">
        <v>3283</v>
      </c>
      <c r="F885" s="85" t="s">
        <v>66</v>
      </c>
    </row>
    <row r="886" spans="1:6" x14ac:dyDescent="0.25">
      <c r="A886" s="85" t="s">
        <v>3284</v>
      </c>
      <c r="B886" s="91" t="s">
        <v>3184</v>
      </c>
      <c r="C886" s="89" t="s">
        <v>3133</v>
      </c>
      <c r="D886" s="97" t="s">
        <v>3281</v>
      </c>
      <c r="E886" s="86" t="s">
        <v>3285</v>
      </c>
      <c r="F886" s="85" t="s">
        <v>66</v>
      </c>
    </row>
    <row r="887" spans="1:6" x14ac:dyDescent="0.25">
      <c r="A887" s="85" t="s">
        <v>3286</v>
      </c>
      <c r="B887" s="91" t="s">
        <v>3184</v>
      </c>
      <c r="C887" s="89" t="s">
        <v>3133</v>
      </c>
      <c r="D887" s="97" t="s">
        <v>3281</v>
      </c>
      <c r="E887" s="86" t="s">
        <v>3287</v>
      </c>
      <c r="F887" s="85" t="s">
        <v>66</v>
      </c>
    </row>
    <row r="888" spans="1:6" x14ac:dyDescent="0.25">
      <c r="A888" s="85" t="s">
        <v>3288</v>
      </c>
      <c r="B888" s="91" t="s">
        <v>3184</v>
      </c>
      <c r="C888" s="89" t="s">
        <v>3133</v>
      </c>
      <c r="D888" s="97" t="s">
        <v>3281</v>
      </c>
      <c r="E888" s="86" t="s">
        <v>3289</v>
      </c>
      <c r="F888" s="85" t="s">
        <v>66</v>
      </c>
    </row>
    <row r="889" spans="1:6" x14ac:dyDescent="0.25">
      <c r="A889" s="85" t="s">
        <v>3290</v>
      </c>
      <c r="B889" s="91" t="s">
        <v>3184</v>
      </c>
      <c r="C889" s="89" t="s">
        <v>3133</v>
      </c>
      <c r="D889" s="97" t="s">
        <v>3281</v>
      </c>
      <c r="E889" s="86" t="s">
        <v>3291</v>
      </c>
      <c r="F889" s="85" t="s">
        <v>66</v>
      </c>
    </row>
    <row r="890" spans="1:6" x14ac:dyDescent="0.25">
      <c r="A890" s="85" t="s">
        <v>3292</v>
      </c>
      <c r="B890" s="91" t="s">
        <v>3184</v>
      </c>
      <c r="C890" s="89" t="s">
        <v>3133</v>
      </c>
      <c r="D890" s="97" t="s">
        <v>3281</v>
      </c>
      <c r="E890" s="86" t="s">
        <v>3293</v>
      </c>
      <c r="F890" s="85" t="s">
        <v>66</v>
      </c>
    </row>
    <row r="891" spans="1:6" x14ac:dyDescent="0.25">
      <c r="A891" s="88" t="s">
        <v>3294</v>
      </c>
      <c r="B891" s="91" t="s">
        <v>3184</v>
      </c>
      <c r="C891" s="89" t="s">
        <v>3295</v>
      </c>
      <c r="D891" s="89"/>
      <c r="E891" s="89"/>
      <c r="F891" s="89"/>
    </row>
    <row r="892" spans="1:6" x14ac:dyDescent="0.2">
      <c r="A892" s="85" t="s">
        <v>3296</v>
      </c>
      <c r="B892" s="91" t="s">
        <v>3184</v>
      </c>
      <c r="C892" s="89" t="s">
        <v>3295</v>
      </c>
      <c r="D892" s="85" t="s">
        <v>3297</v>
      </c>
      <c r="E892" s="87"/>
      <c r="F892" s="85" t="s">
        <v>66</v>
      </c>
    </row>
    <row r="893" spans="1:6" x14ac:dyDescent="0.2">
      <c r="A893" s="85" t="s">
        <v>3298</v>
      </c>
      <c r="B893" s="91" t="s">
        <v>3184</v>
      </c>
      <c r="C893" s="89" t="s">
        <v>3295</v>
      </c>
      <c r="D893" s="85" t="s">
        <v>3299</v>
      </c>
      <c r="E893" s="87"/>
      <c r="F893" s="85" t="s">
        <v>66</v>
      </c>
    </row>
    <row r="894" spans="1:6" x14ac:dyDescent="0.2">
      <c r="A894" s="85" t="s">
        <v>3300</v>
      </c>
      <c r="B894" s="91" t="s">
        <v>3184</v>
      </c>
      <c r="C894" s="89" t="s">
        <v>3295</v>
      </c>
      <c r="D894" s="85" t="s">
        <v>3301</v>
      </c>
      <c r="E894" s="87"/>
      <c r="F894" s="85" t="s">
        <v>66</v>
      </c>
    </row>
    <row r="895" spans="1:6" x14ac:dyDescent="0.2">
      <c r="A895" s="85" t="s">
        <v>3302</v>
      </c>
      <c r="B895" s="91" t="s">
        <v>3184</v>
      </c>
      <c r="C895" s="89" t="s">
        <v>3295</v>
      </c>
      <c r="D895" s="85" t="s">
        <v>3303</v>
      </c>
      <c r="E895" s="87"/>
      <c r="F895" s="85" t="s">
        <v>1677</v>
      </c>
    </row>
    <row r="896" spans="1:6" x14ac:dyDescent="0.25">
      <c r="A896" s="96" t="s">
        <v>3304</v>
      </c>
      <c r="B896" s="91" t="s">
        <v>3184</v>
      </c>
      <c r="C896" s="89" t="s">
        <v>3295</v>
      </c>
      <c r="D896" s="97" t="s">
        <v>3305</v>
      </c>
      <c r="E896" s="97"/>
      <c r="F896" s="97"/>
    </row>
    <row r="897" spans="1:6" x14ac:dyDescent="0.25">
      <c r="A897" s="85" t="s">
        <v>3306</v>
      </c>
      <c r="B897" s="91" t="s">
        <v>3184</v>
      </c>
      <c r="C897" s="89" t="s">
        <v>3295</v>
      </c>
      <c r="D897" s="97" t="s">
        <v>3305</v>
      </c>
      <c r="E897" s="86" t="s">
        <v>3307</v>
      </c>
      <c r="F897" s="85" t="s">
        <v>1697</v>
      </c>
    </row>
    <row r="898" spans="1:6" x14ac:dyDescent="0.25">
      <c r="A898" s="85" t="s">
        <v>3308</v>
      </c>
      <c r="B898" s="91" t="s">
        <v>3184</v>
      </c>
      <c r="C898" s="89" t="s">
        <v>3295</v>
      </c>
      <c r="D898" s="97" t="s">
        <v>3305</v>
      </c>
      <c r="E898" s="86" t="s">
        <v>3309</v>
      </c>
      <c r="F898" s="85" t="s">
        <v>1697</v>
      </c>
    </row>
    <row r="899" spans="1:6" x14ac:dyDescent="0.25">
      <c r="A899" s="96" t="s">
        <v>3310</v>
      </c>
      <c r="B899" s="91" t="s">
        <v>3184</v>
      </c>
      <c r="C899" s="89" t="s">
        <v>3295</v>
      </c>
      <c r="D899" s="97" t="s">
        <v>3311</v>
      </c>
      <c r="E899" s="97"/>
      <c r="F899" s="97"/>
    </row>
    <row r="900" spans="1:6" x14ac:dyDescent="0.2">
      <c r="A900" s="85" t="s">
        <v>3312</v>
      </c>
      <c r="B900" s="91" t="s">
        <v>3184</v>
      </c>
      <c r="C900" s="89" t="s">
        <v>3295</v>
      </c>
      <c r="D900" s="97" t="s">
        <v>3311</v>
      </c>
      <c r="E900" s="86" t="s">
        <v>3313</v>
      </c>
      <c r="F900" s="92"/>
    </row>
    <row r="901" spans="1:6" x14ac:dyDescent="0.25">
      <c r="A901" s="85" t="s">
        <v>3314</v>
      </c>
      <c r="B901" s="91" t="s">
        <v>3184</v>
      </c>
      <c r="C901" s="89" t="s">
        <v>3295</v>
      </c>
      <c r="D901" s="97" t="s">
        <v>3311</v>
      </c>
      <c r="E901" s="86" t="s">
        <v>3315</v>
      </c>
      <c r="F901" s="85" t="s">
        <v>1697</v>
      </c>
    </row>
    <row r="902" spans="1:6" x14ac:dyDescent="0.2">
      <c r="A902" s="85" t="s">
        <v>3316</v>
      </c>
      <c r="B902" s="91" t="s">
        <v>3184</v>
      </c>
      <c r="C902" s="89" t="s">
        <v>3295</v>
      </c>
      <c r="D902" s="85" t="s">
        <v>3317</v>
      </c>
      <c r="E902" s="87"/>
      <c r="F902" s="85" t="s">
        <v>2833</v>
      </c>
    </row>
    <row r="903" spans="1:6" x14ac:dyDescent="0.2">
      <c r="A903" s="85" t="s">
        <v>3318</v>
      </c>
      <c r="B903" s="91" t="s">
        <v>3184</v>
      </c>
      <c r="C903" s="89" t="s">
        <v>3295</v>
      </c>
      <c r="D903" s="85" t="s">
        <v>3319</v>
      </c>
      <c r="E903" s="87"/>
      <c r="F903" s="85" t="s">
        <v>1697</v>
      </c>
    </row>
    <row r="904" spans="1:6" x14ac:dyDescent="0.25">
      <c r="A904" s="85" t="s">
        <v>3320</v>
      </c>
      <c r="B904" s="91" t="s">
        <v>3184</v>
      </c>
      <c r="C904" s="89" t="s">
        <v>3321</v>
      </c>
      <c r="D904" s="89"/>
      <c r="E904" s="89"/>
      <c r="F904" s="89"/>
    </row>
    <row r="905" spans="1:6" x14ac:dyDescent="0.25">
      <c r="A905" s="90" t="s">
        <v>3322</v>
      </c>
      <c r="B905" s="91" t="s">
        <v>3323</v>
      </c>
      <c r="C905" s="91"/>
      <c r="D905" s="91"/>
      <c r="E905" s="91"/>
      <c r="F905" s="91"/>
    </row>
    <row r="906" spans="1:6" x14ac:dyDescent="0.25">
      <c r="A906" s="88" t="s">
        <v>3324</v>
      </c>
      <c r="B906" s="91" t="s">
        <v>3323</v>
      </c>
      <c r="C906" s="89" t="s">
        <v>3325</v>
      </c>
      <c r="D906" s="89"/>
      <c r="E906" s="89"/>
      <c r="F906" s="89"/>
    </row>
    <row r="907" spans="1:6" x14ac:dyDescent="0.2">
      <c r="A907" s="85" t="s">
        <v>3326</v>
      </c>
      <c r="B907" s="91" t="s">
        <v>3323</v>
      </c>
      <c r="C907" s="89" t="s">
        <v>3325</v>
      </c>
      <c r="D907" s="85" t="s">
        <v>3327</v>
      </c>
      <c r="E907" s="87"/>
      <c r="F907" s="85" t="s">
        <v>2840</v>
      </c>
    </row>
    <row r="908" spans="1:6" x14ac:dyDescent="0.2">
      <c r="A908" s="85" t="s">
        <v>3328</v>
      </c>
      <c r="B908" s="91" t="s">
        <v>3323</v>
      </c>
      <c r="C908" s="89" t="s">
        <v>3325</v>
      </c>
      <c r="D908" s="85" t="s">
        <v>3329</v>
      </c>
      <c r="E908" s="87"/>
      <c r="F908" s="85" t="s">
        <v>2840</v>
      </c>
    </row>
    <row r="909" spans="1:6" x14ac:dyDescent="0.25">
      <c r="A909" s="90" t="s">
        <v>3330</v>
      </c>
      <c r="B909" s="91" t="s">
        <v>3331</v>
      </c>
      <c r="C909" s="91"/>
      <c r="D909" s="91"/>
      <c r="E909" s="91"/>
      <c r="F909" s="91"/>
    </row>
    <row r="910" spans="1:6" x14ac:dyDescent="0.25">
      <c r="A910" s="88" t="s">
        <v>3332</v>
      </c>
      <c r="B910" s="91" t="s">
        <v>3331</v>
      </c>
      <c r="C910" s="89" t="s">
        <v>3333</v>
      </c>
      <c r="D910" s="89"/>
      <c r="E910" s="89"/>
      <c r="F910" s="89"/>
    </row>
    <row r="911" spans="1:6" x14ac:dyDescent="0.2">
      <c r="A911" s="85" t="s">
        <v>3334</v>
      </c>
      <c r="B911" s="91" t="s">
        <v>3331</v>
      </c>
      <c r="C911" s="89" t="s">
        <v>3333</v>
      </c>
      <c r="D911" s="85" t="s">
        <v>3335</v>
      </c>
      <c r="E911" s="87"/>
      <c r="F911" s="85" t="s">
        <v>66</v>
      </c>
    </row>
    <row r="912" spans="1:6" x14ac:dyDescent="0.2">
      <c r="A912" s="85" t="s">
        <v>3336</v>
      </c>
      <c r="B912" s="91" t="s">
        <v>3331</v>
      </c>
      <c r="C912" s="89" t="s">
        <v>3333</v>
      </c>
      <c r="D912" s="85" t="s">
        <v>3337</v>
      </c>
      <c r="E912" s="87"/>
      <c r="F912" s="85" t="s">
        <v>66</v>
      </c>
    </row>
    <row r="913" spans="1:6" x14ac:dyDescent="0.2">
      <c r="A913" s="85" t="s">
        <v>3338</v>
      </c>
      <c r="B913" s="91" t="s">
        <v>3331</v>
      </c>
      <c r="C913" s="89" t="s">
        <v>3333</v>
      </c>
      <c r="D913" s="85" t="s">
        <v>3339</v>
      </c>
      <c r="E913" s="87"/>
      <c r="F913" s="85" t="s">
        <v>66</v>
      </c>
    </row>
    <row r="914" spans="1:6" x14ac:dyDescent="0.2">
      <c r="A914" s="85" t="s">
        <v>3340</v>
      </c>
      <c r="B914" s="91" t="s">
        <v>3331</v>
      </c>
      <c r="C914" s="89" t="s">
        <v>3333</v>
      </c>
      <c r="D914" s="85" t="s">
        <v>3341</v>
      </c>
      <c r="E914" s="87"/>
      <c r="F914" s="85" t="s">
        <v>66</v>
      </c>
    </row>
    <row r="915" spans="1:6" x14ac:dyDescent="0.2">
      <c r="A915" s="85" t="s">
        <v>3342</v>
      </c>
      <c r="B915" s="91" t="s">
        <v>3331</v>
      </c>
      <c r="C915" s="89" t="s">
        <v>3333</v>
      </c>
      <c r="D915" s="85" t="s">
        <v>3343</v>
      </c>
      <c r="E915" s="87"/>
      <c r="F915" s="85" t="s">
        <v>66</v>
      </c>
    </row>
    <row r="916" spans="1:6" x14ac:dyDescent="0.2">
      <c r="A916" s="85" t="s">
        <v>3344</v>
      </c>
      <c r="B916" s="91" t="s">
        <v>3331</v>
      </c>
      <c r="C916" s="89" t="s">
        <v>3333</v>
      </c>
      <c r="D916" s="85" t="s">
        <v>3345</v>
      </c>
      <c r="E916" s="87"/>
      <c r="F916" s="85" t="s">
        <v>66</v>
      </c>
    </row>
    <row r="917" spans="1:6" x14ac:dyDescent="0.2">
      <c r="A917" s="85" t="s">
        <v>3346</v>
      </c>
      <c r="B917" s="91" t="s">
        <v>3331</v>
      </c>
      <c r="C917" s="89" t="s">
        <v>3333</v>
      </c>
      <c r="D917" s="85" t="s">
        <v>1837</v>
      </c>
      <c r="E917" s="87"/>
      <c r="F917" s="85" t="s">
        <v>66</v>
      </c>
    </row>
    <row r="918" spans="1:6" x14ac:dyDescent="0.2">
      <c r="A918" s="85" t="s">
        <v>3347</v>
      </c>
      <c r="B918" s="91" t="s">
        <v>3331</v>
      </c>
      <c r="C918" s="89" t="s">
        <v>3333</v>
      </c>
      <c r="D918" s="85" t="s">
        <v>3348</v>
      </c>
      <c r="E918" s="87"/>
      <c r="F918" s="85" t="s">
        <v>66</v>
      </c>
    </row>
    <row r="919" spans="1:6" x14ac:dyDescent="0.2">
      <c r="A919" s="85" t="s">
        <v>3349</v>
      </c>
      <c r="B919" s="91" t="s">
        <v>3331</v>
      </c>
      <c r="C919" s="89" t="s">
        <v>3333</v>
      </c>
      <c r="D919" s="85" t="s">
        <v>3350</v>
      </c>
      <c r="E919" s="87"/>
      <c r="F919" s="85" t="s">
        <v>66</v>
      </c>
    </row>
    <row r="920" spans="1:6" x14ac:dyDescent="0.2">
      <c r="A920" s="85" t="s">
        <v>3351</v>
      </c>
      <c r="B920" s="91" t="s">
        <v>3331</v>
      </c>
      <c r="C920" s="89" t="s">
        <v>3333</v>
      </c>
      <c r="D920" s="85" t="s">
        <v>3352</v>
      </c>
      <c r="E920" s="87"/>
      <c r="F920" s="85" t="s">
        <v>66</v>
      </c>
    </row>
    <row r="921" spans="1:6" x14ac:dyDescent="0.2">
      <c r="A921" s="85" t="s">
        <v>3353</v>
      </c>
      <c r="B921" s="91" t="s">
        <v>3331</v>
      </c>
      <c r="C921" s="89" t="s">
        <v>3333</v>
      </c>
      <c r="D921" s="85" t="s">
        <v>3354</v>
      </c>
      <c r="E921" s="87"/>
      <c r="F921" s="85" t="s">
        <v>66</v>
      </c>
    </row>
    <row r="922" spans="1:6" x14ac:dyDescent="0.2">
      <c r="A922" s="85" t="s">
        <v>3355</v>
      </c>
      <c r="B922" s="91" t="s">
        <v>3331</v>
      </c>
      <c r="C922" s="89" t="s">
        <v>3333</v>
      </c>
      <c r="D922" s="85" t="s">
        <v>3356</v>
      </c>
      <c r="E922" s="87"/>
      <c r="F922" s="85" t="s">
        <v>66</v>
      </c>
    </row>
    <row r="923" spans="1:6" x14ac:dyDescent="0.2">
      <c r="A923" s="85" t="s">
        <v>3357</v>
      </c>
      <c r="B923" s="91" t="s">
        <v>3331</v>
      </c>
      <c r="C923" s="89" t="s">
        <v>3333</v>
      </c>
      <c r="D923" s="85" t="s">
        <v>3358</v>
      </c>
      <c r="E923" s="87"/>
      <c r="F923" s="85" t="s">
        <v>66</v>
      </c>
    </row>
    <row r="924" spans="1:6" x14ac:dyDescent="0.2">
      <c r="A924" s="85" t="s">
        <v>3359</v>
      </c>
      <c r="B924" s="91" t="s">
        <v>3331</v>
      </c>
      <c r="C924" s="89" t="s">
        <v>3333</v>
      </c>
      <c r="D924" s="85" t="s">
        <v>3360</v>
      </c>
      <c r="E924" s="87"/>
      <c r="F924" s="85" t="s">
        <v>66</v>
      </c>
    </row>
    <row r="925" spans="1:6" x14ac:dyDescent="0.2">
      <c r="A925" s="85" t="s">
        <v>3361</v>
      </c>
      <c r="B925" s="91" t="s">
        <v>3331</v>
      </c>
      <c r="C925" s="89" t="s">
        <v>3333</v>
      </c>
      <c r="D925" s="85" t="s">
        <v>3362</v>
      </c>
      <c r="E925" s="87"/>
      <c r="F925" s="85" t="s">
        <v>66</v>
      </c>
    </row>
    <row r="926" spans="1:6" x14ac:dyDescent="0.2">
      <c r="A926" s="85" t="s">
        <v>3363</v>
      </c>
      <c r="B926" s="91" t="s">
        <v>3331</v>
      </c>
      <c r="C926" s="89" t="s">
        <v>3333</v>
      </c>
      <c r="D926" s="85" t="s">
        <v>3364</v>
      </c>
      <c r="E926" s="87"/>
      <c r="F926" s="85" t="s">
        <v>66</v>
      </c>
    </row>
    <row r="927" spans="1:6" x14ac:dyDescent="0.2">
      <c r="A927" s="85" t="s">
        <v>3365</v>
      </c>
      <c r="B927" s="91" t="s">
        <v>3331</v>
      </c>
      <c r="C927" s="89" t="s">
        <v>3333</v>
      </c>
      <c r="D927" s="85" t="s">
        <v>3366</v>
      </c>
      <c r="E927" s="87"/>
      <c r="F927" s="85" t="s">
        <v>66</v>
      </c>
    </row>
    <row r="928" spans="1:6" x14ac:dyDescent="0.2">
      <c r="A928" s="85" t="s">
        <v>3367</v>
      </c>
      <c r="B928" s="91" t="s">
        <v>3331</v>
      </c>
      <c r="C928" s="89" t="s">
        <v>3333</v>
      </c>
      <c r="D928" s="85" t="s">
        <v>3368</v>
      </c>
      <c r="E928" s="87"/>
      <c r="F928" s="85" t="s">
        <v>66</v>
      </c>
    </row>
    <row r="929" spans="1:6" x14ac:dyDescent="0.2">
      <c r="A929" s="85" t="s">
        <v>3369</v>
      </c>
      <c r="B929" s="91" t="s">
        <v>3331</v>
      </c>
      <c r="C929" s="89" t="s">
        <v>3333</v>
      </c>
      <c r="D929" s="85" t="s">
        <v>3370</v>
      </c>
      <c r="E929" s="87"/>
      <c r="F929" s="85" t="s">
        <v>66</v>
      </c>
    </row>
    <row r="930" spans="1:6" x14ac:dyDescent="0.2">
      <c r="A930" s="85" t="s">
        <v>3371</v>
      </c>
      <c r="B930" s="91" t="s">
        <v>3331</v>
      </c>
      <c r="C930" s="89" t="s">
        <v>3333</v>
      </c>
      <c r="D930" s="85" t="s">
        <v>3372</v>
      </c>
      <c r="E930" s="87"/>
      <c r="F930" s="85" t="s">
        <v>66</v>
      </c>
    </row>
    <row r="931" spans="1:6" x14ac:dyDescent="0.2">
      <c r="A931" s="85" t="s">
        <v>3373</v>
      </c>
      <c r="B931" s="91" t="s">
        <v>3331</v>
      </c>
      <c r="C931" s="89" t="s">
        <v>3333</v>
      </c>
      <c r="D931" s="85" t="s">
        <v>3374</v>
      </c>
      <c r="E931" s="87"/>
      <c r="F931" s="85" t="s">
        <v>66</v>
      </c>
    </row>
    <row r="932" spans="1:6" x14ac:dyDescent="0.2">
      <c r="A932" s="85" t="s">
        <v>3375</v>
      </c>
      <c r="B932" s="91" t="s">
        <v>3331</v>
      </c>
      <c r="C932" s="89" t="s">
        <v>3333</v>
      </c>
      <c r="D932" s="85" t="s">
        <v>3376</v>
      </c>
      <c r="E932" s="87"/>
      <c r="F932" s="85" t="s">
        <v>66</v>
      </c>
    </row>
    <row r="933" spans="1:6" x14ac:dyDescent="0.2">
      <c r="A933" s="85" t="s">
        <v>3377</v>
      </c>
      <c r="B933" s="91" t="s">
        <v>3331</v>
      </c>
      <c r="C933" s="89" t="s">
        <v>3333</v>
      </c>
      <c r="D933" s="85" t="s">
        <v>3378</v>
      </c>
      <c r="E933" s="87"/>
      <c r="F933" s="85" t="s">
        <v>66</v>
      </c>
    </row>
    <row r="934" spans="1:6" x14ac:dyDescent="0.2">
      <c r="A934" s="85" t="s">
        <v>3379</v>
      </c>
      <c r="B934" s="91" t="s">
        <v>3331</v>
      </c>
      <c r="C934" s="89" t="s">
        <v>3333</v>
      </c>
      <c r="D934" s="85" t="s">
        <v>3380</v>
      </c>
      <c r="E934" s="87"/>
      <c r="F934" s="85" t="s">
        <v>66</v>
      </c>
    </row>
    <row r="935" spans="1:6" x14ac:dyDescent="0.2">
      <c r="A935" s="85" t="s">
        <v>3381</v>
      </c>
      <c r="B935" s="91" t="s">
        <v>3331</v>
      </c>
      <c r="C935" s="89" t="s">
        <v>3333</v>
      </c>
      <c r="D935" s="85" t="s">
        <v>3382</v>
      </c>
      <c r="E935" s="87"/>
      <c r="F935" s="85" t="s">
        <v>66</v>
      </c>
    </row>
    <row r="936" spans="1:6" x14ac:dyDescent="0.2">
      <c r="A936" s="85" t="s">
        <v>3383</v>
      </c>
      <c r="B936" s="91" t="s">
        <v>3331</v>
      </c>
      <c r="C936" s="89" t="s">
        <v>3333</v>
      </c>
      <c r="D936" s="85" t="s">
        <v>3384</v>
      </c>
      <c r="E936" s="87"/>
      <c r="F936" s="85" t="s">
        <v>66</v>
      </c>
    </row>
    <row r="937" spans="1:6" x14ac:dyDescent="0.25">
      <c r="A937" s="88" t="s">
        <v>3385</v>
      </c>
      <c r="B937" s="91" t="s">
        <v>3331</v>
      </c>
      <c r="C937" s="89" t="s">
        <v>3386</v>
      </c>
      <c r="D937" s="109"/>
      <c r="E937" s="109"/>
      <c r="F937" s="85" t="s">
        <v>66</v>
      </c>
    </row>
    <row r="938" spans="1:6" x14ac:dyDescent="0.2">
      <c r="A938" s="85" t="s">
        <v>3387</v>
      </c>
      <c r="B938" s="91" t="s">
        <v>3331</v>
      </c>
      <c r="C938" s="89" t="s">
        <v>3386</v>
      </c>
      <c r="D938" s="85" t="s">
        <v>3388</v>
      </c>
      <c r="E938" s="87"/>
      <c r="F938" s="85" t="s">
        <v>66</v>
      </c>
    </row>
    <row r="939" spans="1:6" x14ac:dyDescent="0.2">
      <c r="A939" s="85" t="s">
        <v>3389</v>
      </c>
      <c r="B939" s="91" t="s">
        <v>3331</v>
      </c>
      <c r="C939" s="89" t="s">
        <v>3386</v>
      </c>
      <c r="D939" s="85" t="s">
        <v>3390</v>
      </c>
      <c r="E939" s="87"/>
      <c r="F939" s="85" t="s">
        <v>66</v>
      </c>
    </row>
    <row r="940" spans="1:6" x14ac:dyDescent="0.2">
      <c r="A940" s="85" t="s">
        <v>3391</v>
      </c>
      <c r="B940" s="91" t="s">
        <v>3331</v>
      </c>
      <c r="C940" s="89" t="s">
        <v>3386</v>
      </c>
      <c r="D940" s="85" t="s">
        <v>168</v>
      </c>
      <c r="E940" s="87"/>
      <c r="F940" s="85" t="s">
        <v>66</v>
      </c>
    </row>
    <row r="941" spans="1:6" x14ac:dyDescent="0.2">
      <c r="A941" s="85" t="s">
        <v>3392</v>
      </c>
      <c r="B941" s="91" t="s">
        <v>3331</v>
      </c>
      <c r="C941" s="89" t="s">
        <v>3386</v>
      </c>
      <c r="D941" s="85" t="s">
        <v>3393</v>
      </c>
      <c r="E941" s="87"/>
      <c r="F941" s="85" t="s">
        <v>66</v>
      </c>
    </row>
    <row r="942" spans="1:6" x14ac:dyDescent="0.25">
      <c r="A942" s="88" t="s">
        <v>3394</v>
      </c>
      <c r="B942" s="91" t="s">
        <v>3331</v>
      </c>
      <c r="C942" s="89" t="s">
        <v>3395</v>
      </c>
      <c r="D942" s="109"/>
      <c r="E942" s="109"/>
      <c r="F942" s="85" t="s">
        <v>66</v>
      </c>
    </row>
    <row r="943" spans="1:6" x14ac:dyDescent="0.2">
      <c r="A943" s="85" t="s">
        <v>3396</v>
      </c>
      <c r="B943" s="91" t="s">
        <v>3331</v>
      </c>
      <c r="C943" s="89" t="s">
        <v>3395</v>
      </c>
      <c r="D943" s="85" t="s">
        <v>3397</v>
      </c>
      <c r="E943" s="87"/>
      <c r="F943" s="85" t="s">
        <v>66</v>
      </c>
    </row>
    <row r="944" spans="1:6" x14ac:dyDescent="0.2">
      <c r="A944" s="85" t="s">
        <v>3398</v>
      </c>
      <c r="B944" s="91" t="s">
        <v>3331</v>
      </c>
      <c r="C944" s="89" t="s">
        <v>3395</v>
      </c>
      <c r="D944" s="85" t="s">
        <v>3399</v>
      </c>
      <c r="E944" s="87"/>
      <c r="F944" s="85" t="s">
        <v>66</v>
      </c>
    </row>
  </sheetData>
  <autoFilter ref="A2:F944" xr:uid="{323986AD-FD6B-4408-8DCF-6EC86C9DB742}"/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1332-67CA-49F5-8EE3-D06F17F56D5D}">
  <dimension ref="A1:H656"/>
  <sheetViews>
    <sheetView zoomScale="85" zoomScaleNormal="85" workbookViewId="0">
      <pane ySplit="2" topLeftCell="A366" activePane="bottomLeft" state="frozen"/>
      <selection activeCell="B319" sqref="B319"/>
      <selection pane="bottomLeft" activeCell="E391" sqref="E391"/>
    </sheetView>
  </sheetViews>
  <sheetFormatPr defaultRowHeight="12.75" x14ac:dyDescent="0.25"/>
  <cols>
    <col min="1" max="1" width="16.5703125" style="59" bestFit="1" customWidth="1"/>
    <col min="2" max="2" width="62.85546875" style="59" bestFit="1" customWidth="1"/>
    <col min="3" max="3" width="48.42578125" style="59" bestFit="1" customWidth="1"/>
    <col min="4" max="4" width="69.140625" style="59" bestFit="1" customWidth="1"/>
    <col min="5" max="5" width="51.28515625" style="59" bestFit="1" customWidth="1"/>
    <col min="6" max="6" width="105.85546875" style="59" bestFit="1" customWidth="1"/>
    <col min="7" max="7" width="12.28515625" style="59" bestFit="1" customWidth="1"/>
    <col min="8" max="8" width="5" style="59" customWidth="1"/>
    <col min="9" max="16384" width="9.140625" style="59"/>
  </cols>
  <sheetData>
    <row r="1" spans="1:8" x14ac:dyDescent="0.25">
      <c r="A1" s="163" t="s">
        <v>3400</v>
      </c>
      <c r="B1" s="163"/>
      <c r="C1" s="163"/>
      <c r="D1" s="163"/>
      <c r="E1" s="163"/>
      <c r="F1" s="163"/>
      <c r="G1" s="163"/>
    </row>
    <row r="2" spans="1:8" s="113" customFormat="1" x14ac:dyDescent="0.25">
      <c r="A2" s="110" t="s">
        <v>287</v>
      </c>
      <c r="B2" s="110" t="s">
        <v>3401</v>
      </c>
      <c r="C2" s="110" t="s">
        <v>3402</v>
      </c>
      <c r="D2" s="110" t="s">
        <v>3403</v>
      </c>
      <c r="E2" s="110" t="s">
        <v>3404</v>
      </c>
      <c r="F2" s="110" t="s">
        <v>3405</v>
      </c>
      <c r="G2" s="111" t="s">
        <v>3406</v>
      </c>
      <c r="H2" s="112"/>
    </row>
    <row r="3" spans="1:8" x14ac:dyDescent="0.2">
      <c r="A3" s="63" t="s">
        <v>3407</v>
      </c>
      <c r="B3" s="64" t="s">
        <v>3408</v>
      </c>
      <c r="C3" s="64" t="s">
        <v>3409</v>
      </c>
      <c r="D3" s="64" t="s">
        <v>3409</v>
      </c>
      <c r="E3" s="64" t="s">
        <v>3409</v>
      </c>
      <c r="F3" s="64" t="s">
        <v>3409</v>
      </c>
      <c r="G3" s="64" t="s">
        <v>3409</v>
      </c>
      <c r="H3" s="114"/>
    </row>
    <row r="4" spans="1:8" x14ac:dyDescent="0.2">
      <c r="A4" s="115" t="s">
        <v>3410</v>
      </c>
      <c r="B4" s="64" t="s">
        <v>3408</v>
      </c>
      <c r="C4" s="116" t="s">
        <v>3411</v>
      </c>
      <c r="D4" s="116" t="s">
        <v>3409</v>
      </c>
      <c r="E4" s="116" t="s">
        <v>3409</v>
      </c>
      <c r="F4" s="116" t="s">
        <v>3409</v>
      </c>
      <c r="G4" s="116" t="s">
        <v>3409</v>
      </c>
      <c r="H4" s="114"/>
    </row>
    <row r="5" spans="1:8" x14ac:dyDescent="0.2">
      <c r="A5" s="68" t="s">
        <v>3412</v>
      </c>
      <c r="B5" s="64" t="s">
        <v>3408</v>
      </c>
      <c r="C5" s="116" t="s">
        <v>3411</v>
      </c>
      <c r="D5" s="68" t="s">
        <v>3413</v>
      </c>
      <c r="E5" s="117" t="s">
        <v>3409</v>
      </c>
      <c r="F5" s="71" t="s">
        <v>3409</v>
      </c>
      <c r="G5" s="117" t="s">
        <v>3409</v>
      </c>
      <c r="H5" s="114"/>
    </row>
    <row r="6" spans="1:8" x14ac:dyDescent="0.2">
      <c r="A6" s="68" t="s">
        <v>3414</v>
      </c>
      <c r="B6" s="64" t="s">
        <v>3408</v>
      </c>
      <c r="C6" s="116" t="s">
        <v>3411</v>
      </c>
      <c r="D6" s="68" t="s">
        <v>3415</v>
      </c>
      <c r="E6" s="118" t="s">
        <v>3409</v>
      </c>
      <c r="F6" s="70" t="s">
        <v>3409</v>
      </c>
      <c r="G6" s="118" t="s">
        <v>3409</v>
      </c>
      <c r="H6" s="114"/>
    </row>
    <row r="7" spans="1:8" x14ac:dyDescent="0.2">
      <c r="A7" s="115" t="s">
        <v>3416</v>
      </c>
      <c r="B7" s="64" t="s">
        <v>3408</v>
      </c>
      <c r="C7" s="116" t="s">
        <v>3417</v>
      </c>
      <c r="D7" s="116" t="s">
        <v>3409</v>
      </c>
      <c r="E7" s="116" t="s">
        <v>3409</v>
      </c>
      <c r="F7" s="116" t="s">
        <v>3409</v>
      </c>
      <c r="G7" s="116" t="s">
        <v>3409</v>
      </c>
      <c r="H7" s="114"/>
    </row>
    <row r="8" spans="1:8" x14ac:dyDescent="0.2">
      <c r="A8" s="68" t="s">
        <v>3418</v>
      </c>
      <c r="B8" s="64" t="s">
        <v>3408</v>
      </c>
      <c r="C8" s="116" t="s">
        <v>3417</v>
      </c>
      <c r="D8" s="68" t="s">
        <v>3419</v>
      </c>
      <c r="E8" s="118" t="s">
        <v>3409</v>
      </c>
      <c r="F8" s="70" t="s">
        <v>3409</v>
      </c>
      <c r="G8" s="118" t="s">
        <v>3409</v>
      </c>
      <c r="H8" s="114"/>
    </row>
    <row r="9" spans="1:8" x14ac:dyDescent="0.25">
      <c r="A9" s="68" t="s">
        <v>3420</v>
      </c>
      <c r="B9" s="64" t="s">
        <v>3408</v>
      </c>
      <c r="C9" s="116" t="s">
        <v>3417</v>
      </c>
      <c r="D9" s="68" t="s">
        <v>3421</v>
      </c>
      <c r="E9" s="117" t="s">
        <v>3409</v>
      </c>
      <c r="F9" s="71" t="s">
        <v>3409</v>
      </c>
      <c r="G9" s="117" t="s">
        <v>3409</v>
      </c>
      <c r="H9" s="119"/>
    </row>
    <row r="10" spans="1:8" x14ac:dyDescent="0.25">
      <c r="A10" s="146" t="s">
        <v>3422</v>
      </c>
      <c r="B10" s="147" t="s">
        <v>3408</v>
      </c>
      <c r="C10" s="146" t="s">
        <v>3423</v>
      </c>
      <c r="D10" s="121" t="s">
        <v>3409</v>
      </c>
      <c r="E10" s="121" t="s">
        <v>3409</v>
      </c>
      <c r="F10" s="73" t="s">
        <v>3409</v>
      </c>
      <c r="G10" s="121" t="s">
        <v>3409</v>
      </c>
    </row>
    <row r="11" spans="1:8" x14ac:dyDescent="0.2">
      <c r="A11" s="68" t="s">
        <v>3424</v>
      </c>
      <c r="B11" s="64" t="s">
        <v>3408</v>
      </c>
      <c r="C11" s="68" t="s">
        <v>3425</v>
      </c>
      <c r="D11" s="118" t="s">
        <v>3409</v>
      </c>
      <c r="E11" s="118" t="s">
        <v>3409</v>
      </c>
      <c r="F11" s="70" t="s">
        <v>3409</v>
      </c>
      <c r="G11" s="118" t="s">
        <v>3409</v>
      </c>
      <c r="H11" s="114"/>
    </row>
    <row r="12" spans="1:8" x14ac:dyDescent="0.2">
      <c r="A12" s="68" t="s">
        <v>3426</v>
      </c>
      <c r="B12" s="64" t="s">
        <v>3408</v>
      </c>
      <c r="C12" s="68" t="s">
        <v>3427</v>
      </c>
      <c r="D12" s="117" t="s">
        <v>3409</v>
      </c>
      <c r="E12" s="117" t="s">
        <v>3409</v>
      </c>
      <c r="F12" s="71" t="s">
        <v>3409</v>
      </c>
      <c r="G12" s="117" t="s">
        <v>3409</v>
      </c>
      <c r="H12" s="114"/>
    </row>
    <row r="13" spans="1:8" x14ac:dyDescent="0.25">
      <c r="A13" s="148" t="s">
        <v>3428</v>
      </c>
      <c r="B13" s="147" t="s">
        <v>3408</v>
      </c>
      <c r="C13" s="148" t="s">
        <v>3429</v>
      </c>
      <c r="D13" s="121" t="s">
        <v>3409</v>
      </c>
      <c r="E13" s="121" t="s">
        <v>3409</v>
      </c>
      <c r="F13" s="73" t="s">
        <v>3409</v>
      </c>
      <c r="G13" s="121" t="s">
        <v>3409</v>
      </c>
    </row>
    <row r="14" spans="1:8" x14ac:dyDescent="0.25">
      <c r="A14" s="148" t="s">
        <v>3430</v>
      </c>
      <c r="B14" s="147" t="s">
        <v>3408</v>
      </c>
      <c r="C14" s="148" t="s">
        <v>3431</v>
      </c>
      <c r="D14" s="117" t="s">
        <v>3409</v>
      </c>
      <c r="E14" s="117" t="s">
        <v>3409</v>
      </c>
      <c r="F14" s="71" t="s">
        <v>3409</v>
      </c>
      <c r="G14" s="117" t="s">
        <v>3409</v>
      </c>
      <c r="H14" s="119"/>
    </row>
    <row r="15" spans="1:8" x14ac:dyDescent="0.25">
      <c r="A15" s="146" t="s">
        <v>175</v>
      </c>
      <c r="B15" s="147" t="s">
        <v>3408</v>
      </c>
      <c r="C15" s="146" t="s">
        <v>177</v>
      </c>
      <c r="D15" s="117" t="s">
        <v>3409</v>
      </c>
      <c r="E15" s="117" t="s">
        <v>3409</v>
      </c>
      <c r="F15" s="71" t="s">
        <v>3409</v>
      </c>
      <c r="G15" s="117" t="s">
        <v>3409</v>
      </c>
      <c r="H15" s="119"/>
    </row>
    <row r="16" spans="1:8" x14ac:dyDescent="0.2">
      <c r="A16" s="148" t="s">
        <v>184</v>
      </c>
      <c r="B16" s="147" t="s">
        <v>3408</v>
      </c>
      <c r="C16" s="148" t="s">
        <v>186</v>
      </c>
      <c r="D16" s="118" t="s">
        <v>3409</v>
      </c>
      <c r="E16" s="118" t="s">
        <v>3409</v>
      </c>
      <c r="F16" s="70" t="s">
        <v>3409</v>
      </c>
      <c r="G16" s="118" t="s">
        <v>3409</v>
      </c>
      <c r="H16" s="114"/>
    </row>
    <row r="17" spans="1:8" x14ac:dyDescent="0.25">
      <c r="A17" s="68" t="s">
        <v>3432</v>
      </c>
      <c r="B17" s="64" t="s">
        <v>3408</v>
      </c>
      <c r="C17" s="68" t="s">
        <v>3433</v>
      </c>
      <c r="D17" s="117" t="s">
        <v>3409</v>
      </c>
      <c r="E17" s="117" t="s">
        <v>3409</v>
      </c>
      <c r="F17" s="71" t="s">
        <v>3409</v>
      </c>
      <c r="G17" s="117" t="s">
        <v>3409</v>
      </c>
      <c r="H17" s="119"/>
    </row>
    <row r="18" spans="1:8" x14ac:dyDescent="0.2">
      <c r="A18" s="63" t="s">
        <v>3434</v>
      </c>
      <c r="B18" s="64" t="s">
        <v>3435</v>
      </c>
      <c r="C18" s="64" t="s">
        <v>3409</v>
      </c>
      <c r="D18" s="64" t="s">
        <v>3409</v>
      </c>
      <c r="E18" s="64" t="s">
        <v>3409</v>
      </c>
      <c r="F18" s="64" t="s">
        <v>3409</v>
      </c>
      <c r="G18" s="64" t="s">
        <v>3409</v>
      </c>
      <c r="H18" s="114"/>
    </row>
    <row r="19" spans="1:8" x14ac:dyDescent="0.2">
      <c r="A19" s="115" t="s">
        <v>3436</v>
      </c>
      <c r="B19" s="64" t="s">
        <v>3435</v>
      </c>
      <c r="C19" s="116" t="s">
        <v>3437</v>
      </c>
      <c r="D19" s="116" t="s">
        <v>3409</v>
      </c>
      <c r="E19" s="116" t="s">
        <v>3409</v>
      </c>
      <c r="F19" s="116" t="s">
        <v>3409</v>
      </c>
      <c r="G19" s="116" t="s">
        <v>3409</v>
      </c>
      <c r="H19" s="114"/>
    </row>
    <row r="20" spans="1:8" x14ac:dyDescent="0.2">
      <c r="A20" s="68" t="s">
        <v>3438</v>
      </c>
      <c r="B20" s="64" t="s">
        <v>3435</v>
      </c>
      <c r="C20" s="116" t="s">
        <v>3437</v>
      </c>
      <c r="D20" s="68" t="s">
        <v>3439</v>
      </c>
      <c r="E20" s="118" t="s">
        <v>3409</v>
      </c>
      <c r="F20" s="70" t="s">
        <v>3409</v>
      </c>
      <c r="G20" s="118" t="s">
        <v>3409</v>
      </c>
      <c r="H20" s="114"/>
    </row>
    <row r="21" spans="1:8" x14ac:dyDescent="0.2">
      <c r="A21" s="68" t="s">
        <v>3440</v>
      </c>
      <c r="B21" s="64" t="s">
        <v>3435</v>
      </c>
      <c r="C21" s="116" t="s">
        <v>3437</v>
      </c>
      <c r="D21" s="68" t="s">
        <v>3441</v>
      </c>
      <c r="E21" s="117" t="s">
        <v>3409</v>
      </c>
      <c r="F21" s="71" t="s">
        <v>3409</v>
      </c>
      <c r="G21" s="117" t="s">
        <v>3409</v>
      </c>
      <c r="H21" s="114"/>
    </row>
    <row r="22" spans="1:8" x14ac:dyDescent="0.2">
      <c r="A22" s="68" t="s">
        <v>3442</v>
      </c>
      <c r="B22" s="64" t="s">
        <v>3435</v>
      </c>
      <c r="C22" s="116" t="s">
        <v>3437</v>
      </c>
      <c r="D22" s="68" t="s">
        <v>3443</v>
      </c>
      <c r="E22" s="118" t="s">
        <v>3409</v>
      </c>
      <c r="F22" s="70" t="s">
        <v>3409</v>
      </c>
      <c r="G22" s="118" t="s">
        <v>3409</v>
      </c>
      <c r="H22" s="114"/>
    </row>
    <row r="23" spans="1:8" x14ac:dyDescent="0.2">
      <c r="A23" s="68" t="s">
        <v>3444</v>
      </c>
      <c r="B23" s="64" t="s">
        <v>3435</v>
      </c>
      <c r="C23" s="116" t="s">
        <v>3437</v>
      </c>
      <c r="D23" s="68" t="s">
        <v>3445</v>
      </c>
      <c r="E23" s="117" t="s">
        <v>3409</v>
      </c>
      <c r="F23" s="71" t="s">
        <v>3409</v>
      </c>
      <c r="G23" s="117" t="s">
        <v>3409</v>
      </c>
      <c r="H23" s="114"/>
    </row>
    <row r="24" spans="1:8" x14ac:dyDescent="0.2">
      <c r="A24" s="68" t="s">
        <v>3446</v>
      </c>
      <c r="B24" s="64" t="s">
        <v>3435</v>
      </c>
      <c r="C24" s="116" t="s">
        <v>3437</v>
      </c>
      <c r="D24" s="68" t="s">
        <v>3447</v>
      </c>
      <c r="E24" s="118" t="s">
        <v>3409</v>
      </c>
      <c r="F24" s="70" t="s">
        <v>3409</v>
      </c>
      <c r="G24" s="118" t="s">
        <v>3409</v>
      </c>
      <c r="H24" s="114"/>
    </row>
    <row r="25" spans="1:8" x14ac:dyDescent="0.2">
      <c r="A25" s="68" t="s">
        <v>3448</v>
      </c>
      <c r="B25" s="64" t="s">
        <v>3435</v>
      </c>
      <c r="C25" s="116" t="s">
        <v>3437</v>
      </c>
      <c r="D25" s="68" t="s">
        <v>3449</v>
      </c>
      <c r="E25" s="117" t="s">
        <v>3409</v>
      </c>
      <c r="F25" s="71" t="s">
        <v>3409</v>
      </c>
      <c r="G25" s="117" t="s">
        <v>3409</v>
      </c>
      <c r="H25" s="114"/>
    </row>
    <row r="26" spans="1:8" x14ac:dyDescent="0.2">
      <c r="A26" s="68" t="s">
        <v>3450</v>
      </c>
      <c r="B26" s="64" t="s">
        <v>3435</v>
      </c>
      <c r="C26" s="116" t="s">
        <v>3437</v>
      </c>
      <c r="D26" s="68" t="s">
        <v>3451</v>
      </c>
      <c r="E26" s="118" t="s">
        <v>3409</v>
      </c>
      <c r="F26" s="70" t="s">
        <v>3409</v>
      </c>
      <c r="G26" s="118" t="s">
        <v>3409</v>
      </c>
      <c r="H26" s="114"/>
    </row>
    <row r="27" spans="1:8" x14ac:dyDescent="0.2">
      <c r="A27" s="68" t="s">
        <v>3452</v>
      </c>
      <c r="B27" s="64" t="s">
        <v>3435</v>
      </c>
      <c r="C27" s="116" t="s">
        <v>3437</v>
      </c>
      <c r="D27" s="68" t="s">
        <v>3453</v>
      </c>
      <c r="E27" s="118" t="s">
        <v>3409</v>
      </c>
      <c r="F27" s="70" t="s">
        <v>3409</v>
      </c>
      <c r="G27" s="118" t="s">
        <v>3409</v>
      </c>
      <c r="H27" s="114"/>
    </row>
    <row r="28" spans="1:8" x14ac:dyDescent="0.25">
      <c r="A28" s="68" t="s">
        <v>3454</v>
      </c>
      <c r="B28" s="64" t="s">
        <v>3435</v>
      </c>
      <c r="C28" s="116" t="s">
        <v>3437</v>
      </c>
      <c r="D28" s="68" t="s">
        <v>3455</v>
      </c>
      <c r="E28" s="117" t="s">
        <v>3409</v>
      </c>
      <c r="F28" s="71" t="s">
        <v>3409</v>
      </c>
      <c r="G28" s="117" t="s">
        <v>3409</v>
      </c>
    </row>
    <row r="29" spans="1:8" x14ac:dyDescent="0.2">
      <c r="A29" s="68" t="s">
        <v>3456</v>
      </c>
      <c r="B29" s="64" t="s">
        <v>3435</v>
      </c>
      <c r="C29" s="116" t="s">
        <v>3437</v>
      </c>
      <c r="D29" s="68" t="s">
        <v>3457</v>
      </c>
      <c r="E29" s="118" t="s">
        <v>3409</v>
      </c>
      <c r="F29" s="70" t="s">
        <v>3409</v>
      </c>
      <c r="G29" s="118" t="s">
        <v>3409</v>
      </c>
    </row>
    <row r="30" spans="1:8" x14ac:dyDescent="0.25">
      <c r="A30" s="68" t="s">
        <v>3458</v>
      </c>
      <c r="B30" s="64" t="s">
        <v>3435</v>
      </c>
      <c r="C30" s="116" t="s">
        <v>3437</v>
      </c>
      <c r="D30" s="68" t="s">
        <v>3459</v>
      </c>
      <c r="E30" s="117" t="s">
        <v>3409</v>
      </c>
      <c r="F30" s="71" t="s">
        <v>3409</v>
      </c>
      <c r="G30" s="117" t="s">
        <v>3409</v>
      </c>
    </row>
    <row r="31" spans="1:8" x14ac:dyDescent="0.2">
      <c r="A31" s="68" t="s">
        <v>3460</v>
      </c>
      <c r="B31" s="64" t="s">
        <v>3435</v>
      </c>
      <c r="C31" s="116" t="s">
        <v>3437</v>
      </c>
      <c r="D31" s="68" t="s">
        <v>3461</v>
      </c>
      <c r="E31" s="118" t="s">
        <v>3409</v>
      </c>
      <c r="F31" s="70" t="s">
        <v>3409</v>
      </c>
      <c r="G31" s="118" t="s">
        <v>3409</v>
      </c>
    </row>
    <row r="32" spans="1:8" x14ac:dyDescent="0.25">
      <c r="A32" s="115" t="s">
        <v>3462</v>
      </c>
      <c r="B32" s="64" t="s">
        <v>3435</v>
      </c>
      <c r="C32" s="116" t="s">
        <v>3463</v>
      </c>
      <c r="D32" s="116" t="s">
        <v>3409</v>
      </c>
      <c r="E32" s="116" t="s">
        <v>3409</v>
      </c>
      <c r="F32" s="116" t="s">
        <v>3409</v>
      </c>
      <c r="G32" s="116" t="s">
        <v>3409</v>
      </c>
    </row>
    <row r="33" spans="1:7" x14ac:dyDescent="0.25">
      <c r="A33" s="122" t="s">
        <v>3464</v>
      </c>
      <c r="B33" s="64" t="s">
        <v>3435</v>
      </c>
      <c r="C33" s="116" t="s">
        <v>3463</v>
      </c>
      <c r="D33" s="123" t="s">
        <v>3465</v>
      </c>
      <c r="E33" s="123" t="s">
        <v>3409</v>
      </c>
      <c r="F33" s="123" t="s">
        <v>3409</v>
      </c>
      <c r="G33" s="123" t="s">
        <v>3409</v>
      </c>
    </row>
    <row r="34" spans="1:7" x14ac:dyDescent="0.25">
      <c r="A34" s="124" t="s">
        <v>3466</v>
      </c>
      <c r="B34" s="64" t="s">
        <v>3435</v>
      </c>
      <c r="C34" s="116" t="s">
        <v>3463</v>
      </c>
      <c r="D34" s="123" t="s">
        <v>3465</v>
      </c>
      <c r="E34" s="125" t="s">
        <v>3433</v>
      </c>
      <c r="F34" s="125" t="s">
        <v>3409</v>
      </c>
      <c r="G34" s="125" t="s">
        <v>3409</v>
      </c>
    </row>
    <row r="35" spans="1:7" x14ac:dyDescent="0.2">
      <c r="A35" s="68" t="s">
        <v>3467</v>
      </c>
      <c r="B35" s="64" t="s">
        <v>3435</v>
      </c>
      <c r="C35" s="116" t="s">
        <v>3463</v>
      </c>
      <c r="D35" s="123" t="s">
        <v>3465</v>
      </c>
      <c r="E35" s="125" t="s">
        <v>3433</v>
      </c>
      <c r="F35" s="69" t="s">
        <v>3468</v>
      </c>
      <c r="G35" s="118" t="s">
        <v>3409</v>
      </c>
    </row>
    <row r="36" spans="1:7" x14ac:dyDescent="0.25">
      <c r="A36" s="68" t="s">
        <v>3469</v>
      </c>
      <c r="B36" s="64" t="s">
        <v>3435</v>
      </c>
      <c r="C36" s="116" t="s">
        <v>3463</v>
      </c>
      <c r="D36" s="123" t="s">
        <v>3465</v>
      </c>
      <c r="E36" s="125" t="s">
        <v>3433</v>
      </c>
      <c r="F36" s="69" t="s">
        <v>3470</v>
      </c>
      <c r="G36" s="117" t="s">
        <v>3409</v>
      </c>
    </row>
    <row r="37" spans="1:7" x14ac:dyDescent="0.2">
      <c r="A37" s="68" t="s">
        <v>3471</v>
      </c>
      <c r="B37" s="64" t="s">
        <v>3435</v>
      </c>
      <c r="C37" s="116" t="s">
        <v>3463</v>
      </c>
      <c r="D37" s="123" t="s">
        <v>3465</v>
      </c>
      <c r="E37" s="125" t="s">
        <v>3433</v>
      </c>
      <c r="F37" s="69" t="s">
        <v>3472</v>
      </c>
      <c r="G37" s="118" t="s">
        <v>3409</v>
      </c>
    </row>
    <row r="38" spans="1:7" x14ac:dyDescent="0.25">
      <c r="A38" s="124" t="s">
        <v>3473</v>
      </c>
      <c r="B38" s="64" t="s">
        <v>3435</v>
      </c>
      <c r="C38" s="116" t="s">
        <v>3463</v>
      </c>
      <c r="D38" s="123" t="s">
        <v>3465</v>
      </c>
      <c r="E38" s="125" t="s">
        <v>3474</v>
      </c>
      <c r="F38" s="125" t="s">
        <v>3409</v>
      </c>
      <c r="G38" s="125" t="s">
        <v>3409</v>
      </c>
    </row>
    <row r="39" spans="1:7" x14ac:dyDescent="0.2">
      <c r="A39" s="68" t="s">
        <v>3475</v>
      </c>
      <c r="B39" s="64" t="s">
        <v>3435</v>
      </c>
      <c r="C39" s="116" t="s">
        <v>3463</v>
      </c>
      <c r="D39" s="123" t="s">
        <v>3465</v>
      </c>
      <c r="E39" s="125" t="s">
        <v>3474</v>
      </c>
      <c r="F39" s="69" t="s">
        <v>3476</v>
      </c>
      <c r="G39" s="118" t="s">
        <v>3409</v>
      </c>
    </row>
    <row r="40" spans="1:7" x14ac:dyDescent="0.25">
      <c r="A40" s="68" t="s">
        <v>3477</v>
      </c>
      <c r="B40" s="64" t="s">
        <v>3435</v>
      </c>
      <c r="C40" s="116" t="s">
        <v>3463</v>
      </c>
      <c r="D40" s="123" t="s">
        <v>3465</v>
      </c>
      <c r="E40" s="125" t="s">
        <v>3474</v>
      </c>
      <c r="F40" s="69" t="s">
        <v>3478</v>
      </c>
      <c r="G40" s="117" t="s">
        <v>3409</v>
      </c>
    </row>
    <row r="41" spans="1:7" x14ac:dyDescent="0.2">
      <c r="A41" s="68" t="s">
        <v>3479</v>
      </c>
      <c r="B41" s="64" t="s">
        <v>3435</v>
      </c>
      <c r="C41" s="116" t="s">
        <v>3463</v>
      </c>
      <c r="D41" s="123" t="s">
        <v>3465</v>
      </c>
      <c r="E41" s="125" t="s">
        <v>3474</v>
      </c>
      <c r="F41" s="69" t="s">
        <v>3480</v>
      </c>
      <c r="G41" s="118" t="s">
        <v>3409</v>
      </c>
    </row>
    <row r="42" spans="1:7" x14ac:dyDescent="0.25">
      <c r="A42" s="124" t="s">
        <v>3481</v>
      </c>
      <c r="B42" s="64" t="s">
        <v>3435</v>
      </c>
      <c r="C42" s="116" t="s">
        <v>3463</v>
      </c>
      <c r="D42" s="123" t="s">
        <v>3465</v>
      </c>
      <c r="E42" s="125" t="s">
        <v>3482</v>
      </c>
      <c r="F42" s="125" t="s">
        <v>3409</v>
      </c>
      <c r="G42" s="125" t="s">
        <v>3409</v>
      </c>
    </row>
    <row r="43" spans="1:7" x14ac:dyDescent="0.2">
      <c r="A43" s="68" t="s">
        <v>3483</v>
      </c>
      <c r="B43" s="64" t="s">
        <v>3435</v>
      </c>
      <c r="C43" s="116" t="s">
        <v>3463</v>
      </c>
      <c r="D43" s="123" t="s">
        <v>3465</v>
      </c>
      <c r="E43" s="125" t="s">
        <v>3482</v>
      </c>
      <c r="F43" s="69" t="s">
        <v>3484</v>
      </c>
      <c r="G43" s="118" t="s">
        <v>3409</v>
      </c>
    </row>
    <row r="44" spans="1:7" x14ac:dyDescent="0.25">
      <c r="A44" s="68" t="s">
        <v>3485</v>
      </c>
      <c r="B44" s="64" t="s">
        <v>3435</v>
      </c>
      <c r="C44" s="116" t="s">
        <v>3463</v>
      </c>
      <c r="D44" s="123" t="s">
        <v>3465</v>
      </c>
      <c r="E44" s="125" t="s">
        <v>3482</v>
      </c>
      <c r="F44" s="69" t="s">
        <v>3486</v>
      </c>
      <c r="G44" s="117" t="s">
        <v>3409</v>
      </c>
    </row>
    <row r="45" spans="1:7" x14ac:dyDescent="0.2">
      <c r="A45" s="68" t="s">
        <v>3487</v>
      </c>
      <c r="B45" s="64" t="s">
        <v>3435</v>
      </c>
      <c r="C45" s="116" t="s">
        <v>3463</v>
      </c>
      <c r="D45" s="123" t="s">
        <v>3465</v>
      </c>
      <c r="E45" s="68" t="s">
        <v>3488</v>
      </c>
      <c r="F45" s="70" t="s">
        <v>3409</v>
      </c>
      <c r="G45" s="118" t="s">
        <v>3409</v>
      </c>
    </row>
    <row r="46" spans="1:7" x14ac:dyDescent="0.2">
      <c r="A46" s="68" t="s">
        <v>3489</v>
      </c>
      <c r="B46" s="64" t="s">
        <v>3435</v>
      </c>
      <c r="C46" s="116" t="s">
        <v>3463</v>
      </c>
      <c r="D46" s="123" t="s">
        <v>3465</v>
      </c>
      <c r="E46" s="68" t="s">
        <v>3490</v>
      </c>
      <c r="F46" s="70" t="s">
        <v>3409</v>
      </c>
      <c r="G46" s="118" t="s">
        <v>3409</v>
      </c>
    </row>
    <row r="47" spans="1:7" x14ac:dyDescent="0.25">
      <c r="A47" s="151" t="s">
        <v>3491</v>
      </c>
      <c r="B47" s="147" t="s">
        <v>3435</v>
      </c>
      <c r="C47" s="149" t="s">
        <v>3463</v>
      </c>
      <c r="D47" s="150" t="s">
        <v>3492</v>
      </c>
      <c r="E47" s="150" t="s">
        <v>3409</v>
      </c>
      <c r="F47" s="123" t="s">
        <v>3409</v>
      </c>
      <c r="G47" s="123" t="s">
        <v>3409</v>
      </c>
    </row>
    <row r="48" spans="1:7" x14ac:dyDescent="0.2">
      <c r="A48" s="148" t="s">
        <v>3493</v>
      </c>
      <c r="B48" s="147" t="s">
        <v>3435</v>
      </c>
      <c r="C48" s="149" t="s">
        <v>3463</v>
      </c>
      <c r="D48" s="150" t="s">
        <v>3492</v>
      </c>
      <c r="E48" s="148" t="s">
        <v>158</v>
      </c>
      <c r="F48" s="70" t="s">
        <v>3409</v>
      </c>
      <c r="G48" s="118" t="s">
        <v>3409</v>
      </c>
    </row>
    <row r="49" spans="1:7" x14ac:dyDescent="0.25">
      <c r="A49" s="68" t="s">
        <v>3494</v>
      </c>
      <c r="B49" s="64" t="s">
        <v>3435</v>
      </c>
      <c r="C49" s="116" t="s">
        <v>3463</v>
      </c>
      <c r="D49" s="123" t="s">
        <v>3492</v>
      </c>
      <c r="E49" s="68" t="s">
        <v>3495</v>
      </c>
      <c r="F49" s="71" t="s">
        <v>3409</v>
      </c>
      <c r="G49" s="117" t="s">
        <v>3409</v>
      </c>
    </row>
    <row r="50" spans="1:7" x14ac:dyDescent="0.2">
      <c r="A50" s="68" t="s">
        <v>3496</v>
      </c>
      <c r="B50" s="64" t="s">
        <v>3435</v>
      </c>
      <c r="C50" s="116" t="s">
        <v>3463</v>
      </c>
      <c r="D50" s="123" t="s">
        <v>3492</v>
      </c>
      <c r="E50" s="68" t="s">
        <v>3497</v>
      </c>
      <c r="F50" s="70" t="s">
        <v>3409</v>
      </c>
      <c r="G50" s="118" t="s">
        <v>3409</v>
      </c>
    </row>
    <row r="51" spans="1:7" x14ac:dyDescent="0.25">
      <c r="A51" s="68" t="s">
        <v>3498</v>
      </c>
      <c r="B51" s="64" t="s">
        <v>3435</v>
      </c>
      <c r="C51" s="116" t="s">
        <v>3463</v>
      </c>
      <c r="D51" s="123" t="s">
        <v>3492</v>
      </c>
      <c r="E51" s="68" t="s">
        <v>3499</v>
      </c>
      <c r="F51" s="71" t="s">
        <v>3409</v>
      </c>
      <c r="G51" s="117" t="s">
        <v>3409</v>
      </c>
    </row>
    <row r="52" spans="1:7" x14ac:dyDescent="0.2">
      <c r="A52" s="68" t="s">
        <v>3500</v>
      </c>
      <c r="B52" s="64" t="s">
        <v>3435</v>
      </c>
      <c r="C52" s="116" t="s">
        <v>3463</v>
      </c>
      <c r="D52" s="123" t="s">
        <v>3492</v>
      </c>
      <c r="E52" s="68" t="s">
        <v>3501</v>
      </c>
      <c r="F52" s="70" t="s">
        <v>3409</v>
      </c>
      <c r="G52" s="118" t="s">
        <v>3409</v>
      </c>
    </row>
    <row r="53" spans="1:7" x14ac:dyDescent="0.25">
      <c r="A53" s="68" t="s">
        <v>3502</v>
      </c>
      <c r="B53" s="64" t="s">
        <v>3435</v>
      </c>
      <c r="C53" s="116" t="s">
        <v>3463</v>
      </c>
      <c r="D53" s="123" t="s">
        <v>3492</v>
      </c>
      <c r="E53" s="68" t="s">
        <v>3503</v>
      </c>
      <c r="F53" s="71" t="s">
        <v>3409</v>
      </c>
      <c r="G53" s="117" t="s">
        <v>3409</v>
      </c>
    </row>
    <row r="54" spans="1:7" x14ac:dyDescent="0.2">
      <c r="A54" s="68" t="s">
        <v>3504</v>
      </c>
      <c r="B54" s="64" t="s">
        <v>3435</v>
      </c>
      <c r="C54" s="116" t="s">
        <v>3463</v>
      </c>
      <c r="D54" s="123" t="s">
        <v>3492</v>
      </c>
      <c r="E54" s="68" t="s">
        <v>3505</v>
      </c>
      <c r="F54" s="70" t="s">
        <v>3409</v>
      </c>
      <c r="G54" s="118" t="s">
        <v>3409</v>
      </c>
    </row>
    <row r="55" spans="1:7" x14ac:dyDescent="0.25">
      <c r="A55" s="124" t="s">
        <v>3506</v>
      </c>
      <c r="B55" s="64" t="s">
        <v>3435</v>
      </c>
      <c r="C55" s="116" t="s">
        <v>3463</v>
      </c>
      <c r="D55" s="123" t="s">
        <v>3492</v>
      </c>
      <c r="E55" s="125" t="s">
        <v>3507</v>
      </c>
      <c r="F55" s="125" t="s">
        <v>3409</v>
      </c>
      <c r="G55" s="125" t="s">
        <v>3409</v>
      </c>
    </row>
    <row r="56" spans="1:7" x14ac:dyDescent="0.2">
      <c r="A56" s="68" t="s">
        <v>3508</v>
      </c>
      <c r="B56" s="64" t="s">
        <v>3435</v>
      </c>
      <c r="C56" s="116" t="s">
        <v>3463</v>
      </c>
      <c r="D56" s="123" t="s">
        <v>3492</v>
      </c>
      <c r="E56" s="125" t="s">
        <v>3507</v>
      </c>
      <c r="F56" s="69" t="s">
        <v>3509</v>
      </c>
      <c r="G56" s="118" t="s">
        <v>3409</v>
      </c>
    </row>
    <row r="57" spans="1:7" x14ac:dyDescent="0.25">
      <c r="A57" s="68" t="s">
        <v>3510</v>
      </c>
      <c r="B57" s="64" t="s">
        <v>3435</v>
      </c>
      <c r="C57" s="116" t="s">
        <v>3463</v>
      </c>
      <c r="D57" s="123" t="s">
        <v>3492</v>
      </c>
      <c r="E57" s="68" t="s">
        <v>3511</v>
      </c>
      <c r="F57" s="71" t="s">
        <v>3409</v>
      </c>
      <c r="G57" s="117" t="s">
        <v>3409</v>
      </c>
    </row>
    <row r="58" spans="1:7" x14ac:dyDescent="0.2">
      <c r="A58" s="68" t="s">
        <v>3512</v>
      </c>
      <c r="B58" s="64" t="s">
        <v>3435</v>
      </c>
      <c r="C58" s="116" t="s">
        <v>3463</v>
      </c>
      <c r="D58" s="123" t="s">
        <v>3492</v>
      </c>
      <c r="E58" s="68" t="s">
        <v>3513</v>
      </c>
      <c r="F58" s="70" t="s">
        <v>3409</v>
      </c>
      <c r="G58" s="118" t="s">
        <v>3409</v>
      </c>
    </row>
    <row r="59" spans="1:7" x14ac:dyDescent="0.25">
      <c r="A59" s="115" t="s">
        <v>3514</v>
      </c>
      <c r="B59" s="64" t="s">
        <v>3435</v>
      </c>
      <c r="C59" s="116" t="s">
        <v>3515</v>
      </c>
      <c r="D59" s="116" t="s">
        <v>3409</v>
      </c>
      <c r="E59" s="116" t="s">
        <v>3409</v>
      </c>
      <c r="F59" s="116" t="s">
        <v>3409</v>
      </c>
      <c r="G59" s="116" t="s">
        <v>3409</v>
      </c>
    </row>
    <row r="60" spans="1:7" x14ac:dyDescent="0.25">
      <c r="A60" s="122" t="s">
        <v>3516</v>
      </c>
      <c r="B60" s="64" t="s">
        <v>3435</v>
      </c>
      <c r="C60" s="116" t="s">
        <v>3515</v>
      </c>
      <c r="D60" s="123" t="s">
        <v>3517</v>
      </c>
      <c r="E60" s="123" t="s">
        <v>3409</v>
      </c>
      <c r="F60" s="123" t="s">
        <v>3409</v>
      </c>
      <c r="G60" s="126" t="s">
        <v>3518</v>
      </c>
    </row>
    <row r="61" spans="1:7" x14ac:dyDescent="0.25">
      <c r="A61" s="68" t="s">
        <v>3519</v>
      </c>
      <c r="B61" s="64" t="s">
        <v>3435</v>
      </c>
      <c r="C61" s="116" t="s">
        <v>3515</v>
      </c>
      <c r="D61" s="123" t="s">
        <v>3517</v>
      </c>
      <c r="E61" s="68" t="s">
        <v>3520</v>
      </c>
      <c r="F61" s="71" t="s">
        <v>3409</v>
      </c>
      <c r="G61" s="68" t="s">
        <v>3518</v>
      </c>
    </row>
    <row r="62" spans="1:7" x14ac:dyDescent="0.2">
      <c r="A62" s="68" t="s">
        <v>3521</v>
      </c>
      <c r="B62" s="64" t="s">
        <v>3435</v>
      </c>
      <c r="C62" s="116" t="s">
        <v>3515</v>
      </c>
      <c r="D62" s="123" t="s">
        <v>3517</v>
      </c>
      <c r="E62" s="68" t="s">
        <v>3522</v>
      </c>
      <c r="F62" s="70" t="s">
        <v>3409</v>
      </c>
      <c r="G62" s="68" t="s">
        <v>3518</v>
      </c>
    </row>
    <row r="63" spans="1:7" x14ac:dyDescent="0.25">
      <c r="A63" s="68" t="s">
        <v>3523</v>
      </c>
      <c r="B63" s="64" t="s">
        <v>3435</v>
      </c>
      <c r="C63" s="116" t="s">
        <v>3515</v>
      </c>
      <c r="D63" s="123" t="s">
        <v>3517</v>
      </c>
      <c r="E63" s="68" t="s">
        <v>3524</v>
      </c>
      <c r="F63" s="71" t="s">
        <v>3409</v>
      </c>
      <c r="G63" s="68" t="s">
        <v>3518</v>
      </c>
    </row>
    <row r="64" spans="1:7" x14ac:dyDescent="0.25">
      <c r="A64" s="122" t="s">
        <v>3525</v>
      </c>
      <c r="B64" s="64" t="s">
        <v>3435</v>
      </c>
      <c r="C64" s="116" t="s">
        <v>3515</v>
      </c>
      <c r="D64" s="123" t="s">
        <v>3526</v>
      </c>
      <c r="E64" s="123" t="s">
        <v>3409</v>
      </c>
      <c r="F64" s="123" t="s">
        <v>3409</v>
      </c>
      <c r="G64" s="126" t="s">
        <v>3527</v>
      </c>
    </row>
    <row r="65" spans="1:7" x14ac:dyDescent="0.25">
      <c r="A65" s="68" t="s">
        <v>3528</v>
      </c>
      <c r="B65" s="64" t="s">
        <v>3435</v>
      </c>
      <c r="C65" s="116" t="s">
        <v>3515</v>
      </c>
      <c r="D65" s="123" t="s">
        <v>3526</v>
      </c>
      <c r="E65" s="68" t="s">
        <v>3529</v>
      </c>
      <c r="F65" s="71" t="s">
        <v>3409</v>
      </c>
      <c r="G65" s="68" t="s">
        <v>3527</v>
      </c>
    </row>
    <row r="66" spans="1:7" x14ac:dyDescent="0.2">
      <c r="A66" s="68" t="s">
        <v>3530</v>
      </c>
      <c r="B66" s="64" t="s">
        <v>3435</v>
      </c>
      <c r="C66" s="116" t="s">
        <v>3515</v>
      </c>
      <c r="D66" s="123" t="s">
        <v>3526</v>
      </c>
      <c r="E66" s="68" t="s">
        <v>3531</v>
      </c>
      <c r="F66" s="70" t="s">
        <v>3409</v>
      </c>
      <c r="G66" s="68" t="s">
        <v>3527</v>
      </c>
    </row>
    <row r="67" spans="1:7" x14ac:dyDescent="0.25">
      <c r="A67" s="68" t="s">
        <v>3532</v>
      </c>
      <c r="B67" s="64" t="s">
        <v>3435</v>
      </c>
      <c r="C67" s="116" t="s">
        <v>3515</v>
      </c>
      <c r="D67" s="123" t="s">
        <v>3526</v>
      </c>
      <c r="E67" s="68" t="s">
        <v>3533</v>
      </c>
      <c r="F67" s="71" t="s">
        <v>3409</v>
      </c>
      <c r="G67" s="68" t="s">
        <v>3527</v>
      </c>
    </row>
    <row r="68" spans="1:7" x14ac:dyDescent="0.25">
      <c r="A68" s="122" t="s">
        <v>3534</v>
      </c>
      <c r="B68" s="64" t="s">
        <v>3435</v>
      </c>
      <c r="C68" s="116" t="s">
        <v>3515</v>
      </c>
      <c r="D68" s="123" t="s">
        <v>3535</v>
      </c>
      <c r="E68" s="123" t="s">
        <v>3409</v>
      </c>
      <c r="F68" s="123" t="s">
        <v>3409</v>
      </c>
      <c r="G68" s="126" t="s">
        <v>3527</v>
      </c>
    </row>
    <row r="69" spans="1:7" x14ac:dyDescent="0.25">
      <c r="A69" s="68" t="s">
        <v>3536</v>
      </c>
      <c r="B69" s="64" t="s">
        <v>3435</v>
      </c>
      <c r="C69" s="116" t="s">
        <v>3515</v>
      </c>
      <c r="D69" s="123" t="s">
        <v>3535</v>
      </c>
      <c r="E69" s="68" t="s">
        <v>3537</v>
      </c>
      <c r="F69" s="71" t="s">
        <v>3409</v>
      </c>
      <c r="G69" s="68" t="s">
        <v>3527</v>
      </c>
    </row>
    <row r="70" spans="1:7" x14ac:dyDescent="0.2">
      <c r="A70" s="68" t="s">
        <v>3538</v>
      </c>
      <c r="B70" s="64" t="s">
        <v>3435</v>
      </c>
      <c r="C70" s="116" t="s">
        <v>3515</v>
      </c>
      <c r="D70" s="123" t="s">
        <v>3535</v>
      </c>
      <c r="E70" s="68" t="s">
        <v>3539</v>
      </c>
      <c r="F70" s="70" t="s">
        <v>3409</v>
      </c>
      <c r="G70" s="68" t="s">
        <v>3527</v>
      </c>
    </row>
    <row r="71" spans="1:7" x14ac:dyDescent="0.25">
      <c r="A71" s="68" t="s">
        <v>3540</v>
      </c>
      <c r="B71" s="64" t="s">
        <v>3435</v>
      </c>
      <c r="C71" s="116" t="s">
        <v>3515</v>
      </c>
      <c r="D71" s="123" t="s">
        <v>3535</v>
      </c>
      <c r="E71" s="68" t="s">
        <v>3541</v>
      </c>
      <c r="F71" s="71" t="s">
        <v>3409</v>
      </c>
      <c r="G71" s="68" t="s">
        <v>3527</v>
      </c>
    </row>
    <row r="72" spans="1:7" x14ac:dyDescent="0.25">
      <c r="A72" s="122" t="s">
        <v>3542</v>
      </c>
      <c r="B72" s="64" t="s">
        <v>3435</v>
      </c>
      <c r="C72" s="116" t="s">
        <v>3515</v>
      </c>
      <c r="D72" s="123" t="s">
        <v>3543</v>
      </c>
      <c r="E72" s="123" t="s">
        <v>3409</v>
      </c>
      <c r="F72" s="123" t="s">
        <v>3409</v>
      </c>
      <c r="G72" s="126" t="s">
        <v>3544</v>
      </c>
    </row>
    <row r="73" spans="1:7" x14ac:dyDescent="0.25">
      <c r="A73" s="68" t="s">
        <v>3545</v>
      </c>
      <c r="B73" s="64" t="s">
        <v>3435</v>
      </c>
      <c r="C73" s="116" t="s">
        <v>3515</v>
      </c>
      <c r="D73" s="123" t="s">
        <v>3543</v>
      </c>
      <c r="E73" s="68" t="s">
        <v>3546</v>
      </c>
      <c r="F73" s="71" t="s">
        <v>3409</v>
      </c>
      <c r="G73" s="68" t="s">
        <v>3544</v>
      </c>
    </row>
    <row r="74" spans="1:7" x14ac:dyDescent="0.2">
      <c r="A74" s="68" t="s">
        <v>3547</v>
      </c>
      <c r="B74" s="64" t="s">
        <v>3435</v>
      </c>
      <c r="C74" s="116" t="s">
        <v>3515</v>
      </c>
      <c r="D74" s="123" t="s">
        <v>3543</v>
      </c>
      <c r="E74" s="68" t="s">
        <v>3548</v>
      </c>
      <c r="F74" s="70" t="s">
        <v>3409</v>
      </c>
      <c r="G74" s="68" t="s">
        <v>3544</v>
      </c>
    </row>
    <row r="75" spans="1:7" x14ac:dyDescent="0.25">
      <c r="A75" s="68" t="s">
        <v>3549</v>
      </c>
      <c r="B75" s="64" t="s">
        <v>3435</v>
      </c>
      <c r="C75" s="116" t="s">
        <v>3515</v>
      </c>
      <c r="D75" s="123" t="s">
        <v>3543</v>
      </c>
      <c r="E75" s="68" t="s">
        <v>3550</v>
      </c>
      <c r="F75" s="71" t="s">
        <v>3409</v>
      </c>
      <c r="G75" s="68" t="s">
        <v>3544</v>
      </c>
    </row>
    <row r="76" spans="1:7" x14ac:dyDescent="0.2">
      <c r="A76" s="68" t="s">
        <v>3551</v>
      </c>
      <c r="B76" s="64" t="s">
        <v>3435</v>
      </c>
      <c r="C76" s="116" t="s">
        <v>3515</v>
      </c>
      <c r="D76" s="123" t="s">
        <v>3543</v>
      </c>
      <c r="E76" s="68" t="s">
        <v>3552</v>
      </c>
      <c r="F76" s="70" t="s">
        <v>3409</v>
      </c>
      <c r="G76" s="68" t="s">
        <v>3544</v>
      </c>
    </row>
    <row r="77" spans="1:7" x14ac:dyDescent="0.25">
      <c r="A77" s="68" t="s">
        <v>3553</v>
      </c>
      <c r="B77" s="64" t="s">
        <v>3435</v>
      </c>
      <c r="C77" s="116" t="s">
        <v>3515</v>
      </c>
      <c r="D77" s="123" t="s">
        <v>3543</v>
      </c>
      <c r="E77" s="68" t="s">
        <v>3554</v>
      </c>
      <c r="F77" s="71" t="s">
        <v>3409</v>
      </c>
      <c r="G77" s="68" t="s">
        <v>3544</v>
      </c>
    </row>
    <row r="78" spans="1:7" x14ac:dyDescent="0.2">
      <c r="A78" s="68" t="s">
        <v>3555</v>
      </c>
      <c r="B78" s="64" t="s">
        <v>3435</v>
      </c>
      <c r="C78" s="116" t="s">
        <v>3515</v>
      </c>
      <c r="D78" s="123" t="s">
        <v>3543</v>
      </c>
      <c r="E78" s="68" t="s">
        <v>3556</v>
      </c>
      <c r="F78" s="70" t="s">
        <v>3409</v>
      </c>
      <c r="G78" s="68" t="s">
        <v>3544</v>
      </c>
    </row>
    <row r="79" spans="1:7" x14ac:dyDescent="0.25">
      <c r="A79" s="68" t="s">
        <v>3557</v>
      </c>
      <c r="B79" s="64" t="s">
        <v>3435</v>
      </c>
      <c r="C79" s="116" t="s">
        <v>3515</v>
      </c>
      <c r="D79" s="123" t="s">
        <v>3543</v>
      </c>
      <c r="E79" s="68" t="s">
        <v>3558</v>
      </c>
      <c r="F79" s="71" t="s">
        <v>3409</v>
      </c>
      <c r="G79" s="68" t="s">
        <v>3544</v>
      </c>
    </row>
    <row r="80" spans="1:7" x14ac:dyDescent="0.2">
      <c r="A80" s="68" t="s">
        <v>3559</v>
      </c>
      <c r="B80" s="64" t="s">
        <v>3435</v>
      </c>
      <c r="C80" s="116" t="s">
        <v>3515</v>
      </c>
      <c r="D80" s="123" t="s">
        <v>3543</v>
      </c>
      <c r="E80" s="68" t="s">
        <v>3560</v>
      </c>
      <c r="F80" s="70" t="s">
        <v>3409</v>
      </c>
      <c r="G80" s="68" t="s">
        <v>3544</v>
      </c>
    </row>
    <row r="81" spans="1:7" x14ac:dyDescent="0.25">
      <c r="A81" s="68" t="s">
        <v>3561</v>
      </c>
      <c r="B81" s="64" t="s">
        <v>3435</v>
      </c>
      <c r="C81" s="116" t="s">
        <v>3515</v>
      </c>
      <c r="D81" s="123" t="s">
        <v>3543</v>
      </c>
      <c r="E81" s="68" t="s">
        <v>3562</v>
      </c>
      <c r="F81" s="71" t="s">
        <v>3409</v>
      </c>
      <c r="G81" s="68" t="s">
        <v>3544</v>
      </c>
    </row>
    <row r="82" spans="1:7" x14ac:dyDescent="0.25">
      <c r="A82" s="122" t="s">
        <v>3563</v>
      </c>
      <c r="B82" s="64" t="s">
        <v>3435</v>
      </c>
      <c r="C82" s="116" t="s">
        <v>3515</v>
      </c>
      <c r="D82" s="123" t="s">
        <v>3564</v>
      </c>
      <c r="E82" s="123" t="s">
        <v>3409</v>
      </c>
      <c r="F82" s="123" t="s">
        <v>3409</v>
      </c>
      <c r="G82" s="126" t="s">
        <v>3544</v>
      </c>
    </row>
    <row r="83" spans="1:7" x14ac:dyDescent="0.2">
      <c r="A83" s="68" t="s">
        <v>3565</v>
      </c>
      <c r="B83" s="64" t="s">
        <v>3435</v>
      </c>
      <c r="C83" s="116" t="s">
        <v>3515</v>
      </c>
      <c r="D83" s="123" t="s">
        <v>3564</v>
      </c>
      <c r="E83" s="68" t="s">
        <v>3566</v>
      </c>
      <c r="F83" s="70" t="s">
        <v>3409</v>
      </c>
      <c r="G83" s="68" t="s">
        <v>3544</v>
      </c>
    </row>
    <row r="84" spans="1:7" x14ac:dyDescent="0.25">
      <c r="A84" s="68" t="s">
        <v>3567</v>
      </c>
      <c r="B84" s="64" t="s">
        <v>3435</v>
      </c>
      <c r="C84" s="116" t="s">
        <v>3515</v>
      </c>
      <c r="D84" s="123" t="s">
        <v>3564</v>
      </c>
      <c r="E84" s="68" t="s">
        <v>3568</v>
      </c>
      <c r="F84" s="71" t="s">
        <v>3409</v>
      </c>
      <c r="G84" s="68" t="s">
        <v>3544</v>
      </c>
    </row>
    <row r="85" spans="1:7" x14ac:dyDescent="0.2">
      <c r="A85" s="68" t="s">
        <v>3569</v>
      </c>
      <c r="B85" s="64" t="s">
        <v>3435</v>
      </c>
      <c r="C85" s="116" t="s">
        <v>3515</v>
      </c>
      <c r="D85" s="123" t="s">
        <v>3564</v>
      </c>
      <c r="E85" s="68" t="s">
        <v>3570</v>
      </c>
      <c r="F85" s="70" t="s">
        <v>3409</v>
      </c>
      <c r="G85" s="68" t="s">
        <v>3544</v>
      </c>
    </row>
    <row r="86" spans="1:7" x14ac:dyDescent="0.25">
      <c r="A86" s="68" t="s">
        <v>3571</v>
      </c>
      <c r="B86" s="64" t="s">
        <v>3435</v>
      </c>
      <c r="C86" s="116" t="s">
        <v>3515</v>
      </c>
      <c r="D86" s="123" t="s">
        <v>3564</v>
      </c>
      <c r="E86" s="68" t="s">
        <v>3572</v>
      </c>
      <c r="F86" s="71" t="s">
        <v>3409</v>
      </c>
      <c r="G86" s="68" t="s">
        <v>3544</v>
      </c>
    </row>
    <row r="87" spans="1:7" x14ac:dyDescent="0.2">
      <c r="A87" s="68" t="s">
        <v>3573</v>
      </c>
      <c r="B87" s="64" t="s">
        <v>3435</v>
      </c>
      <c r="C87" s="116" t="s">
        <v>3515</v>
      </c>
      <c r="D87" s="123" t="s">
        <v>3564</v>
      </c>
      <c r="E87" s="68" t="s">
        <v>3574</v>
      </c>
      <c r="F87" s="70" t="s">
        <v>3409</v>
      </c>
      <c r="G87" s="68" t="s">
        <v>3544</v>
      </c>
    </row>
    <row r="88" spans="1:7" x14ac:dyDescent="0.25">
      <c r="A88" s="68" t="s">
        <v>3575</v>
      </c>
      <c r="B88" s="64" t="s">
        <v>3435</v>
      </c>
      <c r="C88" s="116" t="s">
        <v>3515</v>
      </c>
      <c r="D88" s="123" t="s">
        <v>3564</v>
      </c>
      <c r="E88" s="68" t="s">
        <v>3576</v>
      </c>
      <c r="F88" s="71" t="s">
        <v>3409</v>
      </c>
      <c r="G88" s="68" t="s">
        <v>3544</v>
      </c>
    </row>
    <row r="89" spans="1:7" x14ac:dyDescent="0.2">
      <c r="A89" s="68" t="s">
        <v>3577</v>
      </c>
      <c r="B89" s="64" t="s">
        <v>3435</v>
      </c>
      <c r="C89" s="116" t="s">
        <v>3515</v>
      </c>
      <c r="D89" s="123" t="s">
        <v>3564</v>
      </c>
      <c r="E89" s="68" t="s">
        <v>3578</v>
      </c>
      <c r="F89" s="70" t="s">
        <v>3409</v>
      </c>
      <c r="G89" s="68" t="s">
        <v>3544</v>
      </c>
    </row>
    <row r="90" spans="1:7" x14ac:dyDescent="0.25">
      <c r="A90" s="68" t="s">
        <v>3579</v>
      </c>
      <c r="B90" s="64" t="s">
        <v>3435</v>
      </c>
      <c r="C90" s="116" t="s">
        <v>3515</v>
      </c>
      <c r="D90" s="123" t="s">
        <v>3564</v>
      </c>
      <c r="E90" s="68" t="s">
        <v>3580</v>
      </c>
      <c r="F90" s="71" t="s">
        <v>3409</v>
      </c>
      <c r="G90" s="68" t="s">
        <v>3544</v>
      </c>
    </row>
    <row r="91" spans="1:7" x14ac:dyDescent="0.2">
      <c r="A91" s="68" t="s">
        <v>3581</v>
      </c>
      <c r="B91" s="64" t="s">
        <v>3435</v>
      </c>
      <c r="C91" s="116" t="s">
        <v>3515</v>
      </c>
      <c r="D91" s="123" t="s">
        <v>3564</v>
      </c>
      <c r="E91" s="68" t="s">
        <v>3582</v>
      </c>
      <c r="F91" s="70" t="s">
        <v>3409</v>
      </c>
      <c r="G91" s="68" t="s">
        <v>3544</v>
      </c>
    </row>
    <row r="92" spans="1:7" x14ac:dyDescent="0.25">
      <c r="A92" s="115" t="s">
        <v>3583</v>
      </c>
      <c r="B92" s="64" t="s">
        <v>3435</v>
      </c>
      <c r="C92" s="116" t="s">
        <v>3584</v>
      </c>
      <c r="D92" s="116" t="s">
        <v>3409</v>
      </c>
      <c r="E92" s="116" t="s">
        <v>3409</v>
      </c>
      <c r="F92" s="116" t="s">
        <v>3409</v>
      </c>
      <c r="G92" s="127" t="s">
        <v>3585</v>
      </c>
    </row>
    <row r="93" spans="1:7" x14ac:dyDescent="0.25">
      <c r="A93" s="122" t="s">
        <v>3586</v>
      </c>
      <c r="B93" s="64" t="s">
        <v>3435</v>
      </c>
      <c r="C93" s="116" t="s">
        <v>3584</v>
      </c>
      <c r="D93" s="123" t="s">
        <v>3587</v>
      </c>
      <c r="E93" s="123" t="s">
        <v>3409</v>
      </c>
      <c r="F93" s="123" t="s">
        <v>3409</v>
      </c>
      <c r="G93" s="126" t="s">
        <v>3585</v>
      </c>
    </row>
    <row r="94" spans="1:7" x14ac:dyDescent="0.25">
      <c r="A94" s="68" t="s">
        <v>3588</v>
      </c>
      <c r="B94" s="64" t="s">
        <v>3435</v>
      </c>
      <c r="C94" s="116" t="s">
        <v>3584</v>
      </c>
      <c r="D94" s="123" t="s">
        <v>3587</v>
      </c>
      <c r="E94" s="68" t="s">
        <v>3589</v>
      </c>
      <c r="F94" s="71" t="s">
        <v>3409</v>
      </c>
      <c r="G94" s="68" t="s">
        <v>3585</v>
      </c>
    </row>
    <row r="95" spans="1:7" x14ac:dyDescent="0.2">
      <c r="A95" s="68" t="s">
        <v>3590</v>
      </c>
      <c r="B95" s="64" t="s">
        <v>3435</v>
      </c>
      <c r="C95" s="116" t="s">
        <v>3584</v>
      </c>
      <c r="D95" s="123" t="s">
        <v>3587</v>
      </c>
      <c r="E95" s="68" t="s">
        <v>3591</v>
      </c>
      <c r="F95" s="70" t="s">
        <v>3409</v>
      </c>
      <c r="G95" s="68" t="s">
        <v>3585</v>
      </c>
    </row>
    <row r="96" spans="1:7" x14ac:dyDescent="0.25">
      <c r="A96" s="68" t="s">
        <v>3592</v>
      </c>
      <c r="B96" s="64" t="s">
        <v>3435</v>
      </c>
      <c r="C96" s="116" t="s">
        <v>3584</v>
      </c>
      <c r="D96" s="123" t="s">
        <v>3587</v>
      </c>
      <c r="E96" s="68" t="s">
        <v>3593</v>
      </c>
      <c r="F96" s="71" t="s">
        <v>3409</v>
      </c>
      <c r="G96" s="68" t="s">
        <v>3585</v>
      </c>
    </row>
    <row r="97" spans="1:7" x14ac:dyDescent="0.2">
      <c r="A97" s="68" t="s">
        <v>3594</v>
      </c>
      <c r="B97" s="64" t="s">
        <v>3435</v>
      </c>
      <c r="C97" s="116" t="s">
        <v>3584</v>
      </c>
      <c r="D97" s="123" t="s">
        <v>3587</v>
      </c>
      <c r="E97" s="68" t="s">
        <v>3595</v>
      </c>
      <c r="F97" s="70" t="s">
        <v>3409</v>
      </c>
      <c r="G97" s="68" t="s">
        <v>3585</v>
      </c>
    </row>
    <row r="98" spans="1:7" x14ac:dyDescent="0.25">
      <c r="A98" s="68" t="s">
        <v>3596</v>
      </c>
      <c r="B98" s="64" t="s">
        <v>3435</v>
      </c>
      <c r="C98" s="116" t="s">
        <v>3584</v>
      </c>
      <c r="D98" s="123" t="s">
        <v>3587</v>
      </c>
      <c r="E98" s="68" t="s">
        <v>3597</v>
      </c>
      <c r="F98" s="71" t="s">
        <v>3409</v>
      </c>
      <c r="G98" s="68" t="s">
        <v>3585</v>
      </c>
    </row>
    <row r="99" spans="1:7" x14ac:dyDescent="0.25">
      <c r="A99" s="122" t="s">
        <v>3598</v>
      </c>
      <c r="B99" s="64" t="s">
        <v>3435</v>
      </c>
      <c r="C99" s="116" t="s">
        <v>3584</v>
      </c>
      <c r="D99" s="123" t="s">
        <v>3599</v>
      </c>
      <c r="E99" s="123" t="s">
        <v>3409</v>
      </c>
      <c r="F99" s="123" t="s">
        <v>3409</v>
      </c>
      <c r="G99" s="126" t="s">
        <v>3585</v>
      </c>
    </row>
    <row r="100" spans="1:7" x14ac:dyDescent="0.25">
      <c r="A100" s="68" t="s">
        <v>3600</v>
      </c>
      <c r="B100" s="64" t="s">
        <v>3435</v>
      </c>
      <c r="C100" s="116" t="s">
        <v>3584</v>
      </c>
      <c r="D100" s="123" t="s">
        <v>3599</v>
      </c>
      <c r="E100" s="68" t="s">
        <v>3601</v>
      </c>
      <c r="F100" s="71" t="s">
        <v>3409</v>
      </c>
      <c r="G100" s="68" t="s">
        <v>3585</v>
      </c>
    </row>
    <row r="101" spans="1:7" x14ac:dyDescent="0.2">
      <c r="A101" s="68" t="s">
        <v>3602</v>
      </c>
      <c r="B101" s="64" t="s">
        <v>3435</v>
      </c>
      <c r="C101" s="116" t="s">
        <v>3584</v>
      </c>
      <c r="D101" s="123" t="s">
        <v>3599</v>
      </c>
      <c r="E101" s="68" t="s">
        <v>3603</v>
      </c>
      <c r="F101" s="70" t="s">
        <v>3409</v>
      </c>
      <c r="G101" s="68" t="s">
        <v>3585</v>
      </c>
    </row>
    <row r="102" spans="1:7" x14ac:dyDescent="0.25">
      <c r="A102" s="68" t="s">
        <v>3604</v>
      </c>
      <c r="B102" s="64" t="s">
        <v>3435</v>
      </c>
      <c r="C102" s="116" t="s">
        <v>3584</v>
      </c>
      <c r="D102" s="123" t="s">
        <v>3599</v>
      </c>
      <c r="E102" s="68" t="s">
        <v>3605</v>
      </c>
      <c r="F102" s="71" t="s">
        <v>3409</v>
      </c>
      <c r="G102" s="68" t="s">
        <v>3585</v>
      </c>
    </row>
    <row r="103" spans="1:7" x14ac:dyDescent="0.2">
      <c r="A103" s="68" t="s">
        <v>3606</v>
      </c>
      <c r="B103" s="64" t="s">
        <v>3435</v>
      </c>
      <c r="C103" s="116" t="s">
        <v>3584</v>
      </c>
      <c r="D103" s="123" t="s">
        <v>3599</v>
      </c>
      <c r="E103" s="68" t="s">
        <v>3607</v>
      </c>
      <c r="F103" s="70" t="s">
        <v>3409</v>
      </c>
      <c r="G103" s="68" t="s">
        <v>3585</v>
      </c>
    </row>
    <row r="104" spans="1:7" x14ac:dyDescent="0.25">
      <c r="A104" s="68" t="s">
        <v>3608</v>
      </c>
      <c r="B104" s="64" t="s">
        <v>3435</v>
      </c>
      <c r="C104" s="116" t="s">
        <v>3584</v>
      </c>
      <c r="D104" s="123" t="s">
        <v>3599</v>
      </c>
      <c r="E104" s="68" t="s">
        <v>3609</v>
      </c>
      <c r="F104" s="71" t="s">
        <v>3409</v>
      </c>
      <c r="G104" s="68" t="s">
        <v>3585</v>
      </c>
    </row>
    <row r="105" spans="1:7" x14ac:dyDescent="0.2">
      <c r="A105" s="68" t="s">
        <v>3610</v>
      </c>
      <c r="B105" s="64" t="s">
        <v>3435</v>
      </c>
      <c r="C105" s="116" t="s">
        <v>3584</v>
      </c>
      <c r="D105" s="123" t="s">
        <v>3599</v>
      </c>
      <c r="E105" s="68" t="s">
        <v>3611</v>
      </c>
      <c r="F105" s="70" t="s">
        <v>3409</v>
      </c>
      <c r="G105" s="68" t="s">
        <v>3585</v>
      </c>
    </row>
    <row r="106" spans="1:7" x14ac:dyDescent="0.25">
      <c r="A106" s="68" t="s">
        <v>3612</v>
      </c>
      <c r="B106" s="64" t="s">
        <v>3435</v>
      </c>
      <c r="C106" s="116" t="s">
        <v>3584</v>
      </c>
      <c r="D106" s="123" t="s">
        <v>3599</v>
      </c>
      <c r="E106" s="68" t="s">
        <v>3613</v>
      </c>
      <c r="F106" s="71" t="s">
        <v>3409</v>
      </c>
      <c r="G106" s="68" t="s">
        <v>3585</v>
      </c>
    </row>
    <row r="107" spans="1:7" x14ac:dyDescent="0.25">
      <c r="A107" s="115" t="s">
        <v>3614</v>
      </c>
      <c r="B107" s="64" t="s">
        <v>3435</v>
      </c>
      <c r="C107" s="116" t="s">
        <v>3615</v>
      </c>
      <c r="D107" s="116" t="s">
        <v>3409</v>
      </c>
      <c r="E107" s="116" t="s">
        <v>3409</v>
      </c>
      <c r="F107" s="116" t="s">
        <v>3409</v>
      </c>
      <c r="G107" s="127" t="s">
        <v>3616</v>
      </c>
    </row>
    <row r="108" spans="1:7" x14ac:dyDescent="0.25">
      <c r="A108" s="68" t="s">
        <v>3617</v>
      </c>
      <c r="B108" s="64" t="s">
        <v>3435</v>
      </c>
      <c r="C108" s="116" t="s">
        <v>3615</v>
      </c>
      <c r="D108" s="68" t="s">
        <v>3618</v>
      </c>
      <c r="E108" s="117" t="s">
        <v>3409</v>
      </c>
      <c r="F108" s="71" t="s">
        <v>3409</v>
      </c>
      <c r="G108" s="68" t="s">
        <v>3616</v>
      </c>
    </row>
    <row r="109" spans="1:7" x14ac:dyDescent="0.2">
      <c r="A109" s="68" t="s">
        <v>3619</v>
      </c>
      <c r="B109" s="64" t="s">
        <v>3435</v>
      </c>
      <c r="C109" s="116" t="s">
        <v>3615</v>
      </c>
      <c r="D109" s="68" t="s">
        <v>3620</v>
      </c>
      <c r="E109" s="118" t="s">
        <v>3409</v>
      </c>
      <c r="F109" s="70" t="s">
        <v>3409</v>
      </c>
      <c r="G109" s="68" t="s">
        <v>3616</v>
      </c>
    </row>
    <row r="110" spans="1:7" x14ac:dyDescent="0.25">
      <c r="A110" s="68" t="s">
        <v>3621</v>
      </c>
      <c r="B110" s="64" t="s">
        <v>3435</v>
      </c>
      <c r="C110" s="116" t="s">
        <v>3615</v>
      </c>
      <c r="D110" s="68" t="s">
        <v>3622</v>
      </c>
      <c r="E110" s="117" t="s">
        <v>3409</v>
      </c>
      <c r="F110" s="71" t="s">
        <v>3409</v>
      </c>
      <c r="G110" s="68" t="s">
        <v>3616</v>
      </c>
    </row>
    <row r="111" spans="1:7" x14ac:dyDescent="0.25">
      <c r="A111" s="68" t="s">
        <v>3623</v>
      </c>
      <c r="B111" s="64" t="s">
        <v>3435</v>
      </c>
      <c r="C111" s="116" t="s">
        <v>3615</v>
      </c>
      <c r="D111" s="68" t="s">
        <v>3624</v>
      </c>
      <c r="E111" s="117" t="s">
        <v>3409</v>
      </c>
      <c r="F111" s="71" t="s">
        <v>3409</v>
      </c>
      <c r="G111" s="68" t="s">
        <v>3616</v>
      </c>
    </row>
    <row r="112" spans="1:7" x14ac:dyDescent="0.2">
      <c r="A112" s="68" t="s">
        <v>3625</v>
      </c>
      <c r="B112" s="64" t="s">
        <v>3435</v>
      </c>
      <c r="C112" s="116" t="s">
        <v>3615</v>
      </c>
      <c r="D112" s="68" t="s">
        <v>3626</v>
      </c>
      <c r="E112" s="118" t="s">
        <v>3409</v>
      </c>
      <c r="F112" s="70" t="s">
        <v>3409</v>
      </c>
      <c r="G112" s="68" t="s">
        <v>3616</v>
      </c>
    </row>
    <row r="113" spans="1:7" x14ac:dyDescent="0.25">
      <c r="A113" s="115" t="s">
        <v>3627</v>
      </c>
      <c r="B113" s="64" t="s">
        <v>3435</v>
      </c>
      <c r="C113" s="116" t="s">
        <v>3628</v>
      </c>
      <c r="D113" s="116" t="s">
        <v>3409</v>
      </c>
      <c r="E113" s="116" t="s">
        <v>3409</v>
      </c>
      <c r="F113" s="116" t="s">
        <v>3409</v>
      </c>
      <c r="G113" s="127" t="s">
        <v>3616</v>
      </c>
    </row>
    <row r="114" spans="1:7" x14ac:dyDescent="0.25">
      <c r="A114" s="68" t="s">
        <v>3629</v>
      </c>
      <c r="B114" s="64" t="s">
        <v>3435</v>
      </c>
      <c r="C114" s="116" t="s">
        <v>3628</v>
      </c>
      <c r="D114" s="68" t="s">
        <v>3630</v>
      </c>
      <c r="E114" s="117" t="s">
        <v>3409</v>
      </c>
      <c r="F114" s="71" t="s">
        <v>3409</v>
      </c>
      <c r="G114" s="68" t="s">
        <v>3631</v>
      </c>
    </row>
    <row r="115" spans="1:7" x14ac:dyDescent="0.2">
      <c r="A115" s="68" t="s">
        <v>3632</v>
      </c>
      <c r="B115" s="64" t="s">
        <v>3435</v>
      </c>
      <c r="C115" s="116" t="s">
        <v>3628</v>
      </c>
      <c r="D115" s="68" t="s">
        <v>3633</v>
      </c>
      <c r="E115" s="118" t="s">
        <v>3409</v>
      </c>
      <c r="F115" s="70" t="s">
        <v>3409</v>
      </c>
      <c r="G115" s="68" t="s">
        <v>3634</v>
      </c>
    </row>
    <row r="116" spans="1:7" x14ac:dyDescent="0.25">
      <c r="A116" s="68" t="s">
        <v>3635</v>
      </c>
      <c r="B116" s="64" t="s">
        <v>3435</v>
      </c>
      <c r="C116" s="116" t="s">
        <v>3628</v>
      </c>
      <c r="D116" s="68" t="s">
        <v>3636</v>
      </c>
      <c r="E116" s="117" t="s">
        <v>3409</v>
      </c>
      <c r="F116" s="71" t="s">
        <v>3409</v>
      </c>
      <c r="G116" s="117" t="s">
        <v>3409</v>
      </c>
    </row>
    <row r="117" spans="1:7" x14ac:dyDescent="0.25">
      <c r="A117" s="68" t="s">
        <v>3637</v>
      </c>
      <c r="B117" s="64" t="s">
        <v>3435</v>
      </c>
      <c r="C117" s="116" t="s">
        <v>3628</v>
      </c>
      <c r="D117" s="68" t="s">
        <v>3638</v>
      </c>
      <c r="E117" s="117" t="s">
        <v>3409</v>
      </c>
      <c r="F117" s="71" t="s">
        <v>3409</v>
      </c>
      <c r="G117" s="68" t="s">
        <v>3639</v>
      </c>
    </row>
    <row r="118" spans="1:7" x14ac:dyDescent="0.2">
      <c r="A118" s="68" t="s">
        <v>3640</v>
      </c>
      <c r="B118" s="64" t="s">
        <v>3435</v>
      </c>
      <c r="C118" s="116" t="s">
        <v>3628</v>
      </c>
      <c r="D118" s="68" t="s">
        <v>3641</v>
      </c>
      <c r="E118" s="118" t="s">
        <v>3409</v>
      </c>
      <c r="F118" s="70" t="s">
        <v>3409</v>
      </c>
      <c r="G118" s="68" t="s">
        <v>3642</v>
      </c>
    </row>
    <row r="119" spans="1:7" x14ac:dyDescent="0.25">
      <c r="A119" s="68" t="s">
        <v>3643</v>
      </c>
      <c r="B119" s="64" t="s">
        <v>3435</v>
      </c>
      <c r="C119" s="116" t="s">
        <v>3628</v>
      </c>
      <c r="D119" s="68" t="s">
        <v>3644</v>
      </c>
      <c r="E119" s="117" t="s">
        <v>3409</v>
      </c>
      <c r="F119" s="71" t="s">
        <v>3409</v>
      </c>
      <c r="G119" s="68" t="s">
        <v>3645</v>
      </c>
    </row>
    <row r="120" spans="1:7" x14ac:dyDescent="0.25">
      <c r="A120" s="115" t="s">
        <v>3646</v>
      </c>
      <c r="B120" s="64" t="s">
        <v>3435</v>
      </c>
      <c r="C120" s="116" t="s">
        <v>3647</v>
      </c>
      <c r="D120" s="116" t="s">
        <v>3409</v>
      </c>
      <c r="E120" s="116" t="s">
        <v>3409</v>
      </c>
      <c r="F120" s="116" t="s">
        <v>3409</v>
      </c>
      <c r="G120" s="116" t="s">
        <v>3409</v>
      </c>
    </row>
    <row r="121" spans="1:7" x14ac:dyDescent="0.25">
      <c r="A121" s="68" t="s">
        <v>3648</v>
      </c>
      <c r="B121" s="64" t="s">
        <v>3435</v>
      </c>
      <c r="C121" s="116" t="s">
        <v>3647</v>
      </c>
      <c r="D121" s="68" t="s">
        <v>3649</v>
      </c>
      <c r="E121" s="117" t="s">
        <v>3409</v>
      </c>
      <c r="F121" s="71" t="s">
        <v>3409</v>
      </c>
      <c r="G121" s="117" t="s">
        <v>3409</v>
      </c>
    </row>
    <row r="122" spans="1:7" x14ac:dyDescent="0.2">
      <c r="A122" s="68" t="s">
        <v>3650</v>
      </c>
      <c r="B122" s="64" t="s">
        <v>3435</v>
      </c>
      <c r="C122" s="116" t="s">
        <v>3647</v>
      </c>
      <c r="D122" s="68" t="s">
        <v>3651</v>
      </c>
      <c r="E122" s="118" t="s">
        <v>3409</v>
      </c>
      <c r="F122" s="70" t="s">
        <v>3409</v>
      </c>
      <c r="G122" s="118" t="s">
        <v>3409</v>
      </c>
    </row>
    <row r="123" spans="1:7" x14ac:dyDescent="0.25">
      <c r="A123" s="68" t="s">
        <v>3652</v>
      </c>
      <c r="B123" s="64" t="s">
        <v>3435</v>
      </c>
      <c r="C123" s="116" t="s">
        <v>3647</v>
      </c>
      <c r="D123" s="68" t="s">
        <v>3653</v>
      </c>
      <c r="E123" s="117" t="s">
        <v>3409</v>
      </c>
      <c r="F123" s="71" t="s">
        <v>3409</v>
      </c>
      <c r="G123" s="117" t="s">
        <v>3409</v>
      </c>
    </row>
    <row r="124" spans="1:7" x14ac:dyDescent="0.2">
      <c r="A124" s="68" t="s">
        <v>3654</v>
      </c>
      <c r="B124" s="64" t="s">
        <v>3435</v>
      </c>
      <c r="C124" s="116" t="s">
        <v>3647</v>
      </c>
      <c r="D124" s="68" t="s">
        <v>3655</v>
      </c>
      <c r="E124" s="118" t="s">
        <v>3409</v>
      </c>
      <c r="F124" s="70" t="s">
        <v>3409</v>
      </c>
      <c r="G124" s="118" t="s">
        <v>3409</v>
      </c>
    </row>
    <row r="125" spans="1:7" x14ac:dyDescent="0.25">
      <c r="A125" s="68" t="s">
        <v>3656</v>
      </c>
      <c r="B125" s="64" t="s">
        <v>3435</v>
      </c>
      <c r="C125" s="116" t="s">
        <v>3647</v>
      </c>
      <c r="D125" s="68" t="s">
        <v>3657</v>
      </c>
      <c r="E125" s="117" t="s">
        <v>3409</v>
      </c>
      <c r="F125" s="71" t="s">
        <v>3409</v>
      </c>
      <c r="G125" s="117" t="s">
        <v>3409</v>
      </c>
    </row>
    <row r="126" spans="1:7" x14ac:dyDescent="0.2">
      <c r="A126" s="68" t="s">
        <v>3658</v>
      </c>
      <c r="B126" s="64" t="s">
        <v>3435</v>
      </c>
      <c r="C126" s="116" t="s">
        <v>3647</v>
      </c>
      <c r="D126" s="68" t="s">
        <v>3427</v>
      </c>
      <c r="E126" s="118" t="s">
        <v>3409</v>
      </c>
      <c r="F126" s="70" t="s">
        <v>3409</v>
      </c>
      <c r="G126" s="118" t="s">
        <v>3409</v>
      </c>
    </row>
    <row r="127" spans="1:7" x14ac:dyDescent="0.25">
      <c r="A127" s="68" t="s">
        <v>3659</v>
      </c>
      <c r="B127" s="64" t="s">
        <v>3435</v>
      </c>
      <c r="C127" s="116" t="s">
        <v>3647</v>
      </c>
      <c r="D127" s="68" t="s">
        <v>3660</v>
      </c>
      <c r="E127" s="117" t="s">
        <v>3409</v>
      </c>
      <c r="F127" s="71" t="s">
        <v>3409</v>
      </c>
      <c r="G127" s="117" t="s">
        <v>3409</v>
      </c>
    </row>
    <row r="128" spans="1:7" x14ac:dyDescent="0.2">
      <c r="A128" s="68" t="s">
        <v>3661</v>
      </c>
      <c r="B128" s="64" t="s">
        <v>3435</v>
      </c>
      <c r="C128" s="116" t="s">
        <v>3647</v>
      </c>
      <c r="D128" s="68" t="s">
        <v>3662</v>
      </c>
      <c r="E128" s="118" t="s">
        <v>3409</v>
      </c>
      <c r="F128" s="70" t="s">
        <v>3409</v>
      </c>
      <c r="G128" s="118" t="s">
        <v>3409</v>
      </c>
    </row>
    <row r="129" spans="1:7" x14ac:dyDescent="0.25">
      <c r="A129" s="68" t="s">
        <v>3663</v>
      </c>
      <c r="B129" s="64" t="s">
        <v>3435</v>
      </c>
      <c r="C129" s="116" t="s">
        <v>3647</v>
      </c>
      <c r="D129" s="68" t="s">
        <v>3664</v>
      </c>
      <c r="E129" s="117" t="s">
        <v>3409</v>
      </c>
      <c r="F129" s="71" t="s">
        <v>3409</v>
      </c>
      <c r="G129" s="117" t="s">
        <v>3409</v>
      </c>
    </row>
    <row r="130" spans="1:7" x14ac:dyDescent="0.25">
      <c r="A130" s="115" t="s">
        <v>3665</v>
      </c>
      <c r="B130" s="64" t="s">
        <v>3435</v>
      </c>
      <c r="C130" s="116" t="s">
        <v>3666</v>
      </c>
      <c r="D130" s="116" t="s">
        <v>3409</v>
      </c>
      <c r="E130" s="116" t="s">
        <v>3409</v>
      </c>
      <c r="F130" s="116" t="s">
        <v>3409</v>
      </c>
      <c r="G130" s="116" t="s">
        <v>3409</v>
      </c>
    </row>
    <row r="131" spans="1:7" x14ac:dyDescent="0.25">
      <c r="A131" s="122" t="s">
        <v>3667</v>
      </c>
      <c r="B131" s="64" t="s">
        <v>3435</v>
      </c>
      <c r="C131" s="116" t="s">
        <v>3666</v>
      </c>
      <c r="D131" s="123" t="s">
        <v>3668</v>
      </c>
      <c r="E131" s="123" t="s">
        <v>3409</v>
      </c>
      <c r="F131" s="123" t="s">
        <v>3409</v>
      </c>
      <c r="G131" s="123" t="s">
        <v>3409</v>
      </c>
    </row>
    <row r="132" spans="1:7" x14ac:dyDescent="0.25">
      <c r="A132" s="68" t="s">
        <v>3669</v>
      </c>
      <c r="B132" s="64" t="s">
        <v>3435</v>
      </c>
      <c r="C132" s="116" t="s">
        <v>3666</v>
      </c>
      <c r="D132" s="123" t="s">
        <v>3668</v>
      </c>
      <c r="E132" s="68" t="s">
        <v>3670</v>
      </c>
      <c r="F132" s="71" t="s">
        <v>3409</v>
      </c>
      <c r="G132" s="117" t="s">
        <v>3409</v>
      </c>
    </row>
    <row r="133" spans="1:7" x14ac:dyDescent="0.2">
      <c r="A133" s="68" t="s">
        <v>3671</v>
      </c>
      <c r="B133" s="64" t="s">
        <v>3435</v>
      </c>
      <c r="C133" s="116" t="s">
        <v>3666</v>
      </c>
      <c r="D133" s="123" t="s">
        <v>3668</v>
      </c>
      <c r="E133" s="68" t="s">
        <v>3672</v>
      </c>
      <c r="F133" s="70" t="s">
        <v>3409</v>
      </c>
      <c r="G133" s="118" t="s">
        <v>3409</v>
      </c>
    </row>
    <row r="134" spans="1:7" x14ac:dyDescent="0.25">
      <c r="A134" s="68" t="s">
        <v>3673</v>
      </c>
      <c r="B134" s="64" t="s">
        <v>3435</v>
      </c>
      <c r="C134" s="116" t="s">
        <v>3666</v>
      </c>
      <c r="D134" s="123" t="s">
        <v>3668</v>
      </c>
      <c r="E134" s="68" t="s">
        <v>3674</v>
      </c>
      <c r="F134" s="71" t="s">
        <v>3409</v>
      </c>
      <c r="G134" s="117" t="s">
        <v>3409</v>
      </c>
    </row>
    <row r="135" spans="1:7" x14ac:dyDescent="0.2">
      <c r="A135" s="68" t="s">
        <v>3675</v>
      </c>
      <c r="B135" s="64" t="s">
        <v>3435</v>
      </c>
      <c r="C135" s="116" t="s">
        <v>3666</v>
      </c>
      <c r="D135" s="123" t="s">
        <v>3668</v>
      </c>
      <c r="E135" s="68" t="s">
        <v>3676</v>
      </c>
      <c r="F135" s="70" t="s">
        <v>3409</v>
      </c>
      <c r="G135" s="118" t="s">
        <v>3409</v>
      </c>
    </row>
    <row r="136" spans="1:7" x14ac:dyDescent="0.2">
      <c r="A136" s="68" t="s">
        <v>3677</v>
      </c>
      <c r="B136" s="64" t="s">
        <v>3435</v>
      </c>
      <c r="C136" s="116" t="s">
        <v>3666</v>
      </c>
      <c r="D136" s="123" t="s">
        <v>3668</v>
      </c>
      <c r="E136" s="68" t="s">
        <v>3678</v>
      </c>
      <c r="F136" s="70" t="s">
        <v>3409</v>
      </c>
      <c r="G136" s="118" t="s">
        <v>3409</v>
      </c>
    </row>
    <row r="137" spans="1:7" x14ac:dyDescent="0.25">
      <c r="A137" s="68" t="s">
        <v>3679</v>
      </c>
      <c r="B137" s="64" t="s">
        <v>3435</v>
      </c>
      <c r="C137" s="116" t="s">
        <v>3666</v>
      </c>
      <c r="D137" s="123" t="s">
        <v>3668</v>
      </c>
      <c r="E137" s="68" t="s">
        <v>3680</v>
      </c>
      <c r="F137" s="71" t="s">
        <v>3409</v>
      </c>
      <c r="G137" s="117" t="s">
        <v>3409</v>
      </c>
    </row>
    <row r="138" spans="1:7" x14ac:dyDescent="0.25">
      <c r="A138" s="122" t="s">
        <v>3681</v>
      </c>
      <c r="B138" s="64" t="s">
        <v>3435</v>
      </c>
      <c r="C138" s="116" t="s">
        <v>3666</v>
      </c>
      <c r="D138" s="123" t="s">
        <v>3682</v>
      </c>
      <c r="E138" s="123" t="s">
        <v>3409</v>
      </c>
      <c r="F138" s="123" t="s">
        <v>3409</v>
      </c>
      <c r="G138" s="123" t="s">
        <v>3409</v>
      </c>
    </row>
    <row r="139" spans="1:7" x14ac:dyDescent="0.25">
      <c r="A139" s="68" t="s">
        <v>3683</v>
      </c>
      <c r="B139" s="64" t="s">
        <v>3435</v>
      </c>
      <c r="C139" s="116" t="s">
        <v>3666</v>
      </c>
      <c r="D139" s="123" t="s">
        <v>3682</v>
      </c>
      <c r="E139" s="68" t="s">
        <v>3684</v>
      </c>
      <c r="F139" s="71" t="s">
        <v>3409</v>
      </c>
      <c r="G139" s="117" t="s">
        <v>3409</v>
      </c>
    </row>
    <row r="140" spans="1:7" x14ac:dyDescent="0.25">
      <c r="A140" s="68" t="s">
        <v>3685</v>
      </c>
      <c r="B140" s="64" t="s">
        <v>3435</v>
      </c>
      <c r="C140" s="116" t="s">
        <v>3666</v>
      </c>
      <c r="D140" s="123" t="s">
        <v>3682</v>
      </c>
      <c r="E140" s="68" t="s">
        <v>3686</v>
      </c>
      <c r="F140" s="71" t="s">
        <v>3409</v>
      </c>
      <c r="G140" s="117" t="s">
        <v>3409</v>
      </c>
    </row>
    <row r="141" spans="1:7" x14ac:dyDescent="0.2">
      <c r="A141" s="68" t="s">
        <v>3687</v>
      </c>
      <c r="B141" s="64" t="s">
        <v>3435</v>
      </c>
      <c r="C141" s="116" t="s">
        <v>3666</v>
      </c>
      <c r="D141" s="123" t="s">
        <v>3682</v>
      </c>
      <c r="E141" s="68" t="s">
        <v>3688</v>
      </c>
      <c r="F141" s="70" t="s">
        <v>3409</v>
      </c>
      <c r="G141" s="118" t="s">
        <v>3409</v>
      </c>
    </row>
    <row r="142" spans="1:7" x14ac:dyDescent="0.25">
      <c r="A142" s="115" t="s">
        <v>3689</v>
      </c>
      <c r="B142" s="64" t="s">
        <v>3435</v>
      </c>
      <c r="C142" s="116" t="s">
        <v>3690</v>
      </c>
      <c r="D142" s="116" t="s">
        <v>3409</v>
      </c>
      <c r="E142" s="116" t="s">
        <v>3409</v>
      </c>
      <c r="F142" s="116" t="s">
        <v>3409</v>
      </c>
      <c r="G142" s="116" t="s">
        <v>3409</v>
      </c>
    </row>
    <row r="143" spans="1:7" x14ac:dyDescent="0.25">
      <c r="A143" s="122" t="s">
        <v>3691</v>
      </c>
      <c r="B143" s="64" t="s">
        <v>3435</v>
      </c>
      <c r="C143" s="116" t="s">
        <v>3690</v>
      </c>
      <c r="D143" s="123" t="s">
        <v>3692</v>
      </c>
      <c r="E143" s="123" t="s">
        <v>3409</v>
      </c>
      <c r="F143" s="123" t="s">
        <v>3409</v>
      </c>
      <c r="G143" s="123" t="s">
        <v>3409</v>
      </c>
    </row>
    <row r="144" spans="1:7" x14ac:dyDescent="0.25">
      <c r="A144" s="124" t="s">
        <v>3693</v>
      </c>
      <c r="B144" s="64" t="s">
        <v>3435</v>
      </c>
      <c r="C144" s="116" t="s">
        <v>3690</v>
      </c>
      <c r="D144" s="123" t="s">
        <v>3692</v>
      </c>
      <c r="E144" s="125" t="s">
        <v>3694</v>
      </c>
      <c r="F144" s="125" t="s">
        <v>3409</v>
      </c>
      <c r="G144" s="125" t="s">
        <v>3409</v>
      </c>
    </row>
    <row r="145" spans="1:7" x14ac:dyDescent="0.2">
      <c r="A145" s="68" t="s">
        <v>3695</v>
      </c>
      <c r="B145" s="64" t="s">
        <v>3435</v>
      </c>
      <c r="C145" s="116" t="s">
        <v>3690</v>
      </c>
      <c r="D145" s="123" t="s">
        <v>3692</v>
      </c>
      <c r="E145" s="125" t="s">
        <v>3694</v>
      </c>
      <c r="F145" s="69" t="s">
        <v>3696</v>
      </c>
      <c r="G145" s="118" t="s">
        <v>3409</v>
      </c>
    </row>
    <row r="146" spans="1:7" x14ac:dyDescent="0.25">
      <c r="A146" s="68" t="s">
        <v>3697</v>
      </c>
      <c r="B146" s="64" t="s">
        <v>3435</v>
      </c>
      <c r="C146" s="116" t="s">
        <v>3690</v>
      </c>
      <c r="D146" s="123" t="s">
        <v>3692</v>
      </c>
      <c r="E146" s="125" t="s">
        <v>3694</v>
      </c>
      <c r="F146" s="128" t="s">
        <v>3698</v>
      </c>
      <c r="G146" s="117" t="s">
        <v>3409</v>
      </c>
    </row>
    <row r="147" spans="1:7" x14ac:dyDescent="0.2">
      <c r="A147" s="68" t="s">
        <v>3699</v>
      </c>
      <c r="B147" s="64" t="s">
        <v>3435</v>
      </c>
      <c r="C147" s="116" t="s">
        <v>3690</v>
      </c>
      <c r="D147" s="123" t="s">
        <v>3692</v>
      </c>
      <c r="E147" s="125" t="s">
        <v>3694</v>
      </c>
      <c r="F147" s="69" t="s">
        <v>3700</v>
      </c>
      <c r="G147" s="118" t="s">
        <v>3409</v>
      </c>
    </row>
    <row r="148" spans="1:7" x14ac:dyDescent="0.25">
      <c r="A148" s="124" t="s">
        <v>3701</v>
      </c>
      <c r="B148" s="64" t="s">
        <v>3435</v>
      </c>
      <c r="C148" s="116" t="s">
        <v>3690</v>
      </c>
      <c r="D148" s="123" t="s">
        <v>3692</v>
      </c>
      <c r="E148" s="125" t="s">
        <v>3702</v>
      </c>
      <c r="F148" s="125" t="s">
        <v>3409</v>
      </c>
      <c r="G148" s="125" t="s">
        <v>3409</v>
      </c>
    </row>
    <row r="149" spans="1:7" x14ac:dyDescent="0.2">
      <c r="A149" s="68" t="s">
        <v>3703</v>
      </c>
      <c r="B149" s="64" t="s">
        <v>3435</v>
      </c>
      <c r="C149" s="116" t="s">
        <v>3690</v>
      </c>
      <c r="D149" s="123" t="s">
        <v>3692</v>
      </c>
      <c r="E149" s="125" t="s">
        <v>3702</v>
      </c>
      <c r="F149" s="69" t="s">
        <v>3704</v>
      </c>
      <c r="G149" s="118" t="s">
        <v>3409</v>
      </c>
    </row>
    <row r="150" spans="1:7" x14ac:dyDescent="0.25">
      <c r="A150" s="68" t="s">
        <v>3705</v>
      </c>
      <c r="B150" s="64" t="s">
        <v>3435</v>
      </c>
      <c r="C150" s="116" t="s">
        <v>3690</v>
      </c>
      <c r="D150" s="123" t="s">
        <v>3692</v>
      </c>
      <c r="E150" s="125" t="s">
        <v>3702</v>
      </c>
      <c r="F150" s="73" t="s">
        <v>3706</v>
      </c>
      <c r="G150" s="117" t="s">
        <v>3409</v>
      </c>
    </row>
    <row r="151" spans="1:7" x14ac:dyDescent="0.25">
      <c r="A151" s="68" t="s">
        <v>3707</v>
      </c>
      <c r="B151" s="64" t="s">
        <v>3435</v>
      </c>
      <c r="C151" s="116" t="s">
        <v>3690</v>
      </c>
      <c r="D151" s="123" t="s">
        <v>3692</v>
      </c>
      <c r="E151" s="125" t="s">
        <v>3702</v>
      </c>
      <c r="F151" s="69" t="s">
        <v>3708</v>
      </c>
      <c r="G151" s="117" t="s">
        <v>3409</v>
      </c>
    </row>
    <row r="152" spans="1:7" x14ac:dyDescent="0.2">
      <c r="A152" s="68" t="s">
        <v>3709</v>
      </c>
      <c r="B152" s="64" t="s">
        <v>3435</v>
      </c>
      <c r="C152" s="116" t="s">
        <v>3690</v>
      </c>
      <c r="D152" s="123" t="s">
        <v>3692</v>
      </c>
      <c r="E152" s="125" t="s">
        <v>3702</v>
      </c>
      <c r="F152" s="69" t="s">
        <v>3710</v>
      </c>
      <c r="G152" s="118" t="s">
        <v>3409</v>
      </c>
    </row>
    <row r="153" spans="1:7" x14ac:dyDescent="0.25">
      <c r="A153" s="124" t="s">
        <v>3711</v>
      </c>
      <c r="B153" s="64" t="s">
        <v>3435</v>
      </c>
      <c r="C153" s="116" t="s">
        <v>3690</v>
      </c>
      <c r="D153" s="123" t="s">
        <v>3692</v>
      </c>
      <c r="E153" s="125" t="s">
        <v>3712</v>
      </c>
      <c r="F153" s="125" t="s">
        <v>3409</v>
      </c>
      <c r="G153" s="125" t="s">
        <v>3409</v>
      </c>
    </row>
    <row r="154" spans="1:7" x14ac:dyDescent="0.2">
      <c r="A154" s="68" t="s">
        <v>3713</v>
      </c>
      <c r="B154" s="64" t="s">
        <v>3435</v>
      </c>
      <c r="C154" s="116" t="s">
        <v>3690</v>
      </c>
      <c r="D154" s="123" t="s">
        <v>3692</v>
      </c>
      <c r="E154" s="125" t="s">
        <v>3712</v>
      </c>
      <c r="F154" s="69" t="s">
        <v>3714</v>
      </c>
      <c r="G154" s="118" t="s">
        <v>3409</v>
      </c>
    </row>
    <row r="155" spans="1:7" x14ac:dyDescent="0.25">
      <c r="A155" s="68" t="s">
        <v>3715</v>
      </c>
      <c r="B155" s="64" t="s">
        <v>3435</v>
      </c>
      <c r="C155" s="116" t="s">
        <v>3690</v>
      </c>
      <c r="D155" s="123" t="s">
        <v>3692</v>
      </c>
      <c r="E155" s="125" t="s">
        <v>3712</v>
      </c>
      <c r="F155" s="69" t="s">
        <v>3716</v>
      </c>
      <c r="G155" s="117" t="s">
        <v>3409</v>
      </c>
    </row>
    <row r="156" spans="1:7" x14ac:dyDescent="0.2">
      <c r="A156" s="68" t="s">
        <v>3717</v>
      </c>
      <c r="B156" s="64" t="s">
        <v>3435</v>
      </c>
      <c r="C156" s="116" t="s">
        <v>3690</v>
      </c>
      <c r="D156" s="123" t="s">
        <v>3692</v>
      </c>
      <c r="E156" s="125" t="s">
        <v>3712</v>
      </c>
      <c r="F156" s="69" t="s">
        <v>3718</v>
      </c>
      <c r="G156" s="118" t="s">
        <v>3409</v>
      </c>
    </row>
    <row r="157" spans="1:7" x14ac:dyDescent="0.25">
      <c r="A157" s="68" t="s">
        <v>3719</v>
      </c>
      <c r="B157" s="64" t="s">
        <v>3435</v>
      </c>
      <c r="C157" s="116" t="s">
        <v>3690</v>
      </c>
      <c r="D157" s="123" t="s">
        <v>3692</v>
      </c>
      <c r="E157" s="125" t="s">
        <v>3712</v>
      </c>
      <c r="F157" s="69" t="s">
        <v>3720</v>
      </c>
      <c r="G157" s="117" t="s">
        <v>3409</v>
      </c>
    </row>
    <row r="158" spans="1:7" x14ac:dyDescent="0.25">
      <c r="A158" s="122" t="s">
        <v>3721</v>
      </c>
      <c r="B158" s="64" t="s">
        <v>3435</v>
      </c>
      <c r="C158" s="116" t="s">
        <v>3690</v>
      </c>
      <c r="D158" s="123" t="s">
        <v>3722</v>
      </c>
      <c r="E158" s="123" t="s">
        <v>3409</v>
      </c>
      <c r="F158" s="123" t="s">
        <v>3409</v>
      </c>
      <c r="G158" s="123" t="s">
        <v>3409</v>
      </c>
    </row>
    <row r="159" spans="1:7" x14ac:dyDescent="0.2">
      <c r="A159" s="68" t="s">
        <v>3723</v>
      </c>
      <c r="B159" s="64" t="s">
        <v>3435</v>
      </c>
      <c r="C159" s="116" t="s">
        <v>3690</v>
      </c>
      <c r="D159" s="123" t="s">
        <v>3722</v>
      </c>
      <c r="E159" s="68" t="s">
        <v>3724</v>
      </c>
      <c r="F159" s="70" t="s">
        <v>3409</v>
      </c>
      <c r="G159" s="118" t="s">
        <v>3409</v>
      </c>
    </row>
    <row r="160" spans="1:7" x14ac:dyDescent="0.25">
      <c r="A160" s="68" t="s">
        <v>3725</v>
      </c>
      <c r="B160" s="64" t="s">
        <v>3435</v>
      </c>
      <c r="C160" s="116" t="s">
        <v>3690</v>
      </c>
      <c r="D160" s="123" t="s">
        <v>3722</v>
      </c>
      <c r="E160" s="68" t="s">
        <v>3726</v>
      </c>
      <c r="F160" s="71" t="s">
        <v>3409</v>
      </c>
      <c r="G160" s="117" t="s">
        <v>3409</v>
      </c>
    </row>
    <row r="161" spans="1:7" x14ac:dyDescent="0.2">
      <c r="A161" s="68" t="s">
        <v>3727</v>
      </c>
      <c r="B161" s="64" t="s">
        <v>3435</v>
      </c>
      <c r="C161" s="116" t="s">
        <v>3690</v>
      </c>
      <c r="D161" s="123" t="s">
        <v>3722</v>
      </c>
      <c r="E161" s="68" t="s">
        <v>3728</v>
      </c>
      <c r="F161" s="70" t="s">
        <v>3409</v>
      </c>
      <c r="G161" s="118" t="s">
        <v>3409</v>
      </c>
    </row>
    <row r="162" spans="1:7" x14ac:dyDescent="0.25">
      <c r="A162" s="68" t="s">
        <v>3729</v>
      </c>
      <c r="B162" s="64" t="s">
        <v>3435</v>
      </c>
      <c r="C162" s="116" t="s">
        <v>3690</v>
      </c>
      <c r="D162" s="123" t="s">
        <v>3722</v>
      </c>
      <c r="E162" s="68" t="s">
        <v>3730</v>
      </c>
      <c r="F162" s="71" t="s">
        <v>3409</v>
      </c>
      <c r="G162" s="117" t="s">
        <v>3409</v>
      </c>
    </row>
    <row r="163" spans="1:7" x14ac:dyDescent="0.25">
      <c r="A163" s="122" t="s">
        <v>3731</v>
      </c>
      <c r="B163" s="64" t="s">
        <v>3435</v>
      </c>
      <c r="C163" s="116" t="s">
        <v>3690</v>
      </c>
      <c r="D163" s="123" t="s">
        <v>3732</v>
      </c>
      <c r="E163" s="123" t="s">
        <v>3409</v>
      </c>
      <c r="F163" s="123" t="s">
        <v>3409</v>
      </c>
      <c r="G163" s="123" t="s">
        <v>3409</v>
      </c>
    </row>
    <row r="164" spans="1:7" x14ac:dyDescent="0.25">
      <c r="A164" s="120" t="s">
        <v>3733</v>
      </c>
      <c r="B164" s="64" t="s">
        <v>3435</v>
      </c>
      <c r="C164" s="116" t="s">
        <v>3690</v>
      </c>
      <c r="D164" s="123" t="s">
        <v>3732</v>
      </c>
      <c r="E164" s="120" t="s">
        <v>3734</v>
      </c>
      <c r="F164" s="71" t="s">
        <v>3409</v>
      </c>
      <c r="G164" s="117" t="s">
        <v>3409</v>
      </c>
    </row>
    <row r="165" spans="1:7" x14ac:dyDescent="0.25">
      <c r="A165" s="122" t="s">
        <v>3735</v>
      </c>
      <c r="B165" s="64" t="s">
        <v>3435</v>
      </c>
      <c r="C165" s="116" t="s">
        <v>3690</v>
      </c>
      <c r="D165" s="123" t="s">
        <v>3736</v>
      </c>
      <c r="E165" s="123" t="s">
        <v>3409</v>
      </c>
      <c r="F165" s="123" t="s">
        <v>3409</v>
      </c>
      <c r="G165" s="123" t="s">
        <v>3409</v>
      </c>
    </row>
    <row r="166" spans="1:7" x14ac:dyDescent="0.25">
      <c r="A166" s="68" t="s">
        <v>3737</v>
      </c>
      <c r="B166" s="64" t="s">
        <v>3435</v>
      </c>
      <c r="C166" s="116" t="s">
        <v>3690</v>
      </c>
      <c r="D166" s="123" t="s">
        <v>3736</v>
      </c>
      <c r="E166" s="68" t="s">
        <v>3738</v>
      </c>
      <c r="F166" s="71" t="s">
        <v>3409</v>
      </c>
      <c r="G166" s="117" t="s">
        <v>3409</v>
      </c>
    </row>
    <row r="167" spans="1:7" x14ac:dyDescent="0.2">
      <c r="A167" s="68" t="s">
        <v>3739</v>
      </c>
      <c r="B167" s="64" t="s">
        <v>3435</v>
      </c>
      <c r="C167" s="116" t="s">
        <v>3690</v>
      </c>
      <c r="D167" s="123" t="s">
        <v>3736</v>
      </c>
      <c r="E167" s="68" t="s">
        <v>3740</v>
      </c>
      <c r="F167" s="70" t="s">
        <v>3409</v>
      </c>
      <c r="G167" s="118" t="s">
        <v>3409</v>
      </c>
    </row>
    <row r="168" spans="1:7" x14ac:dyDescent="0.2">
      <c r="A168" s="68" t="s">
        <v>3741</v>
      </c>
      <c r="B168" s="64" t="s">
        <v>3435</v>
      </c>
      <c r="C168" s="116" t="s">
        <v>3690</v>
      </c>
      <c r="D168" s="123" t="s">
        <v>3736</v>
      </c>
      <c r="E168" s="68" t="s">
        <v>3742</v>
      </c>
      <c r="F168" s="70" t="s">
        <v>3409</v>
      </c>
      <c r="G168" s="118" t="s">
        <v>3409</v>
      </c>
    </row>
    <row r="169" spans="1:7" x14ac:dyDescent="0.25">
      <c r="A169" s="115" t="s">
        <v>3743</v>
      </c>
      <c r="B169" s="64" t="s">
        <v>3435</v>
      </c>
      <c r="C169" s="116" t="s">
        <v>3744</v>
      </c>
      <c r="D169" s="116" t="s">
        <v>3409</v>
      </c>
      <c r="E169" s="116" t="s">
        <v>3409</v>
      </c>
      <c r="F169" s="116" t="s">
        <v>3409</v>
      </c>
      <c r="G169" s="116" t="s">
        <v>3409</v>
      </c>
    </row>
    <row r="170" spans="1:7" x14ac:dyDescent="0.2">
      <c r="A170" s="68" t="s">
        <v>3745</v>
      </c>
      <c r="B170" s="64" t="s">
        <v>3435</v>
      </c>
      <c r="C170" s="116" t="s">
        <v>3744</v>
      </c>
      <c r="D170" s="68" t="s">
        <v>3746</v>
      </c>
      <c r="E170" s="118" t="s">
        <v>3409</v>
      </c>
      <c r="F170" s="70" t="s">
        <v>3409</v>
      </c>
      <c r="G170" s="68" t="s">
        <v>3747</v>
      </c>
    </row>
    <row r="171" spans="1:7" x14ac:dyDescent="0.25">
      <c r="A171" s="122" t="s">
        <v>3748</v>
      </c>
      <c r="B171" s="64" t="s">
        <v>3435</v>
      </c>
      <c r="C171" s="116" t="s">
        <v>3744</v>
      </c>
      <c r="D171" s="123" t="s">
        <v>3749</v>
      </c>
      <c r="E171" s="123" t="s">
        <v>3409</v>
      </c>
      <c r="F171" s="123" t="s">
        <v>3409</v>
      </c>
      <c r="G171" s="123" t="s">
        <v>3409</v>
      </c>
    </row>
    <row r="172" spans="1:7" x14ac:dyDescent="0.2">
      <c r="A172" s="68" t="s">
        <v>3750</v>
      </c>
      <c r="B172" s="64" t="s">
        <v>3435</v>
      </c>
      <c r="C172" s="116" t="s">
        <v>3744</v>
      </c>
      <c r="D172" s="123" t="s">
        <v>3749</v>
      </c>
      <c r="E172" s="68" t="s">
        <v>3751</v>
      </c>
      <c r="F172" s="70" t="s">
        <v>3409</v>
      </c>
      <c r="G172" s="68" t="s">
        <v>3752</v>
      </c>
    </row>
    <row r="173" spans="1:7" x14ac:dyDescent="0.25">
      <c r="A173" s="68" t="s">
        <v>3753</v>
      </c>
      <c r="B173" s="64" t="s">
        <v>3435</v>
      </c>
      <c r="C173" s="116" t="s">
        <v>3744</v>
      </c>
      <c r="D173" s="123" t="s">
        <v>3749</v>
      </c>
      <c r="E173" s="68" t="s">
        <v>3754</v>
      </c>
      <c r="F173" s="71" t="s">
        <v>3409</v>
      </c>
      <c r="G173" s="68" t="s">
        <v>3755</v>
      </c>
    </row>
    <row r="174" spans="1:7" x14ac:dyDescent="0.2">
      <c r="A174" s="68" t="s">
        <v>3756</v>
      </c>
      <c r="B174" s="64" t="s">
        <v>3435</v>
      </c>
      <c r="C174" s="116" t="s">
        <v>3744</v>
      </c>
      <c r="D174" s="123" t="s">
        <v>3749</v>
      </c>
      <c r="E174" s="68" t="s">
        <v>3757</v>
      </c>
      <c r="F174" s="70" t="s">
        <v>3409</v>
      </c>
      <c r="G174" s="68" t="s">
        <v>3758</v>
      </c>
    </row>
    <row r="175" spans="1:7" x14ac:dyDescent="0.25">
      <c r="A175" s="68" t="s">
        <v>3759</v>
      </c>
      <c r="B175" s="64" t="s">
        <v>3435</v>
      </c>
      <c r="C175" s="116" t="s">
        <v>3744</v>
      </c>
      <c r="D175" s="123" t="s">
        <v>3749</v>
      </c>
      <c r="E175" s="68" t="s">
        <v>3760</v>
      </c>
      <c r="F175" s="71" t="s">
        <v>3409</v>
      </c>
      <c r="G175" s="68" t="s">
        <v>3761</v>
      </c>
    </row>
    <row r="176" spans="1:7" x14ac:dyDescent="0.25">
      <c r="A176" s="122" t="s">
        <v>3762</v>
      </c>
      <c r="B176" s="64" t="s">
        <v>3435</v>
      </c>
      <c r="C176" s="116" t="s">
        <v>3744</v>
      </c>
      <c r="D176" s="123" t="s">
        <v>3763</v>
      </c>
      <c r="E176" s="123" t="s">
        <v>3409</v>
      </c>
      <c r="F176" s="123" t="s">
        <v>3409</v>
      </c>
      <c r="G176" s="123" t="s">
        <v>3409</v>
      </c>
    </row>
    <row r="177" spans="1:7" x14ac:dyDescent="0.25">
      <c r="A177" s="68" t="s">
        <v>3764</v>
      </c>
      <c r="B177" s="64" t="s">
        <v>3435</v>
      </c>
      <c r="C177" s="116" t="s">
        <v>3744</v>
      </c>
      <c r="D177" s="123" t="s">
        <v>3763</v>
      </c>
      <c r="E177" s="68" t="s">
        <v>3765</v>
      </c>
      <c r="F177" s="71" t="s">
        <v>3409</v>
      </c>
      <c r="G177" s="117" t="s">
        <v>3409</v>
      </c>
    </row>
    <row r="178" spans="1:7" x14ac:dyDescent="0.2">
      <c r="A178" s="68" t="s">
        <v>3766</v>
      </c>
      <c r="B178" s="64" t="s">
        <v>3435</v>
      </c>
      <c r="C178" s="116" t="s">
        <v>3744</v>
      </c>
      <c r="D178" s="123" t="s">
        <v>3763</v>
      </c>
      <c r="E178" s="68" t="s">
        <v>3767</v>
      </c>
      <c r="F178" s="70" t="s">
        <v>3409</v>
      </c>
      <c r="G178" s="68" t="s">
        <v>3768</v>
      </c>
    </row>
    <row r="179" spans="1:7" x14ac:dyDescent="0.25">
      <c r="A179" s="68" t="s">
        <v>3769</v>
      </c>
      <c r="B179" s="64" t="s">
        <v>3435</v>
      </c>
      <c r="C179" s="116" t="s">
        <v>3744</v>
      </c>
      <c r="D179" s="123" t="s">
        <v>3763</v>
      </c>
      <c r="E179" s="68" t="s">
        <v>3770</v>
      </c>
      <c r="F179" s="71" t="s">
        <v>3409</v>
      </c>
      <c r="G179" s="68" t="s">
        <v>3771</v>
      </c>
    </row>
    <row r="180" spans="1:7" x14ac:dyDescent="0.2">
      <c r="A180" s="68" t="s">
        <v>3772</v>
      </c>
      <c r="B180" s="64" t="s">
        <v>3435</v>
      </c>
      <c r="C180" s="116" t="s">
        <v>3744</v>
      </c>
      <c r="D180" s="123" t="s">
        <v>3763</v>
      </c>
      <c r="E180" s="68" t="s">
        <v>3773</v>
      </c>
      <c r="F180" s="70" t="s">
        <v>3409</v>
      </c>
      <c r="G180" s="68" t="s">
        <v>3774</v>
      </c>
    </row>
    <row r="181" spans="1:7" x14ac:dyDescent="0.25">
      <c r="A181" s="122" t="s">
        <v>3775</v>
      </c>
      <c r="B181" s="64" t="s">
        <v>3435</v>
      </c>
      <c r="C181" s="116" t="s">
        <v>3744</v>
      </c>
      <c r="D181" s="123" t="s">
        <v>3776</v>
      </c>
      <c r="E181" s="123" t="s">
        <v>3409</v>
      </c>
      <c r="F181" s="123" t="s">
        <v>3409</v>
      </c>
      <c r="G181" s="123" t="s">
        <v>3409</v>
      </c>
    </row>
    <row r="182" spans="1:7" x14ac:dyDescent="0.2">
      <c r="A182" s="68" t="s">
        <v>3777</v>
      </c>
      <c r="B182" s="64" t="s">
        <v>3435</v>
      </c>
      <c r="C182" s="116" t="s">
        <v>3744</v>
      </c>
      <c r="D182" s="123" t="s">
        <v>3776</v>
      </c>
      <c r="E182" s="68" t="s">
        <v>3778</v>
      </c>
      <c r="F182" s="70" t="s">
        <v>3409</v>
      </c>
      <c r="G182" s="118" t="s">
        <v>3409</v>
      </c>
    </row>
    <row r="183" spans="1:7" x14ac:dyDescent="0.25">
      <c r="A183" s="68" t="s">
        <v>3779</v>
      </c>
      <c r="B183" s="64" t="s">
        <v>3435</v>
      </c>
      <c r="C183" s="116" t="s">
        <v>3744</v>
      </c>
      <c r="D183" s="123" t="s">
        <v>3776</v>
      </c>
      <c r="E183" s="68" t="s">
        <v>3780</v>
      </c>
      <c r="F183" s="71" t="s">
        <v>3409</v>
      </c>
      <c r="G183" s="117" t="s">
        <v>3409</v>
      </c>
    </row>
    <row r="184" spans="1:7" x14ac:dyDescent="0.2">
      <c r="A184" s="68" t="s">
        <v>3781</v>
      </c>
      <c r="B184" s="64" t="s">
        <v>3435</v>
      </c>
      <c r="C184" s="116" t="s">
        <v>3744</v>
      </c>
      <c r="D184" s="123" t="s">
        <v>3776</v>
      </c>
      <c r="E184" s="68" t="s">
        <v>3782</v>
      </c>
      <c r="F184" s="70" t="s">
        <v>3409</v>
      </c>
      <c r="G184" s="118" t="s">
        <v>3409</v>
      </c>
    </row>
    <row r="185" spans="1:7" x14ac:dyDescent="0.25">
      <c r="A185" s="68" t="s">
        <v>3783</v>
      </c>
      <c r="B185" s="64" t="s">
        <v>3435</v>
      </c>
      <c r="C185" s="116" t="s">
        <v>3744</v>
      </c>
      <c r="D185" s="123" t="s">
        <v>3776</v>
      </c>
      <c r="E185" s="117" t="s">
        <v>3409</v>
      </c>
      <c r="F185" s="71" t="s">
        <v>3409</v>
      </c>
      <c r="G185" s="117" t="s">
        <v>3409</v>
      </c>
    </row>
    <row r="186" spans="1:7" x14ac:dyDescent="0.25">
      <c r="A186" s="122" t="s">
        <v>3784</v>
      </c>
      <c r="B186" s="64" t="s">
        <v>3435</v>
      </c>
      <c r="C186" s="116" t="s">
        <v>3744</v>
      </c>
      <c r="D186" s="123" t="s">
        <v>3785</v>
      </c>
      <c r="E186" s="123" t="s">
        <v>3409</v>
      </c>
      <c r="F186" s="123" t="s">
        <v>3409</v>
      </c>
      <c r="G186" s="126" t="s">
        <v>3786</v>
      </c>
    </row>
    <row r="187" spans="1:7" x14ac:dyDescent="0.2">
      <c r="A187" s="68" t="s">
        <v>3787</v>
      </c>
      <c r="B187" s="64" t="s">
        <v>3435</v>
      </c>
      <c r="C187" s="116" t="s">
        <v>3744</v>
      </c>
      <c r="D187" s="123" t="s">
        <v>3785</v>
      </c>
      <c r="E187" s="68" t="s">
        <v>3788</v>
      </c>
      <c r="F187" s="70" t="s">
        <v>3409</v>
      </c>
      <c r="G187" s="68" t="s">
        <v>3786</v>
      </c>
    </row>
    <row r="188" spans="1:7" x14ac:dyDescent="0.25">
      <c r="A188" s="68" t="s">
        <v>3789</v>
      </c>
      <c r="B188" s="64" t="s">
        <v>3435</v>
      </c>
      <c r="C188" s="116" t="s">
        <v>3744</v>
      </c>
      <c r="D188" s="123" t="s">
        <v>3785</v>
      </c>
      <c r="E188" s="68" t="s">
        <v>3790</v>
      </c>
      <c r="F188" s="71" t="s">
        <v>3409</v>
      </c>
      <c r="G188" s="68" t="s">
        <v>3786</v>
      </c>
    </row>
    <row r="189" spans="1:7" x14ac:dyDescent="0.2">
      <c r="A189" s="68" t="s">
        <v>3791</v>
      </c>
      <c r="B189" s="64" t="s">
        <v>3435</v>
      </c>
      <c r="C189" s="116" t="s">
        <v>3744</v>
      </c>
      <c r="D189" s="123" t="s">
        <v>3785</v>
      </c>
      <c r="E189" s="68" t="s">
        <v>3792</v>
      </c>
      <c r="F189" s="70" t="s">
        <v>3409</v>
      </c>
      <c r="G189" s="68" t="s">
        <v>3786</v>
      </c>
    </row>
    <row r="190" spans="1:7" x14ac:dyDescent="0.25">
      <c r="A190" s="68" t="s">
        <v>3793</v>
      </c>
      <c r="B190" s="64" t="s">
        <v>3435</v>
      </c>
      <c r="C190" s="116" t="s">
        <v>3744</v>
      </c>
      <c r="D190" s="123" t="s">
        <v>3785</v>
      </c>
      <c r="E190" s="68" t="s">
        <v>3794</v>
      </c>
      <c r="F190" s="71" t="s">
        <v>3409</v>
      </c>
      <c r="G190" s="68" t="s">
        <v>3786</v>
      </c>
    </row>
    <row r="191" spans="1:7" x14ac:dyDescent="0.2">
      <c r="A191" s="68" t="s">
        <v>3795</v>
      </c>
      <c r="B191" s="64" t="s">
        <v>3435</v>
      </c>
      <c r="C191" s="116" t="s">
        <v>3744</v>
      </c>
      <c r="D191" s="123" t="s">
        <v>3785</v>
      </c>
      <c r="E191" s="68" t="s">
        <v>3796</v>
      </c>
      <c r="F191" s="70" t="s">
        <v>3409</v>
      </c>
      <c r="G191" s="68" t="s">
        <v>3786</v>
      </c>
    </row>
    <row r="192" spans="1:7" x14ac:dyDescent="0.25">
      <c r="A192" s="68" t="s">
        <v>3797</v>
      </c>
      <c r="B192" s="64" t="s">
        <v>3435</v>
      </c>
      <c r="C192" s="116" t="s">
        <v>3744</v>
      </c>
      <c r="D192" s="123" t="s">
        <v>3785</v>
      </c>
      <c r="E192" s="68" t="s">
        <v>3798</v>
      </c>
      <c r="F192" s="71" t="s">
        <v>3409</v>
      </c>
      <c r="G192" s="68" t="s">
        <v>3786</v>
      </c>
    </row>
    <row r="193" spans="1:7" x14ac:dyDescent="0.2">
      <c r="A193" s="68" t="s">
        <v>3799</v>
      </c>
      <c r="B193" s="64" t="s">
        <v>3435</v>
      </c>
      <c r="C193" s="116" t="s">
        <v>3744</v>
      </c>
      <c r="D193" s="123" t="s">
        <v>3785</v>
      </c>
      <c r="E193" s="68" t="s">
        <v>3800</v>
      </c>
      <c r="F193" s="70" t="s">
        <v>3409</v>
      </c>
      <c r="G193" s="68" t="s">
        <v>3786</v>
      </c>
    </row>
    <row r="194" spans="1:7" x14ac:dyDescent="0.25">
      <c r="A194" s="68" t="s">
        <v>3801</v>
      </c>
      <c r="B194" s="64" t="s">
        <v>3435</v>
      </c>
      <c r="C194" s="116" t="s">
        <v>3744</v>
      </c>
      <c r="D194" s="123" t="s">
        <v>3785</v>
      </c>
      <c r="E194" s="68" t="s">
        <v>3802</v>
      </c>
      <c r="F194" s="71" t="s">
        <v>3409</v>
      </c>
      <c r="G194" s="68" t="s">
        <v>3786</v>
      </c>
    </row>
    <row r="195" spans="1:7" x14ac:dyDescent="0.2">
      <c r="A195" s="68" t="s">
        <v>3803</v>
      </c>
      <c r="B195" s="64" t="s">
        <v>3435</v>
      </c>
      <c r="C195" s="116" t="s">
        <v>3744</v>
      </c>
      <c r="D195" s="123" t="s">
        <v>3785</v>
      </c>
      <c r="E195" s="68" t="s">
        <v>3804</v>
      </c>
      <c r="F195" s="70" t="s">
        <v>3409</v>
      </c>
      <c r="G195" s="68" t="s">
        <v>3786</v>
      </c>
    </row>
    <row r="196" spans="1:7" x14ac:dyDescent="0.25">
      <c r="A196" s="122" t="s">
        <v>3805</v>
      </c>
      <c r="B196" s="64" t="s">
        <v>3435</v>
      </c>
      <c r="C196" s="116" t="s">
        <v>3744</v>
      </c>
      <c r="D196" s="123" t="s">
        <v>3425</v>
      </c>
      <c r="E196" s="123" t="s">
        <v>3409</v>
      </c>
      <c r="F196" s="123" t="s">
        <v>3409</v>
      </c>
      <c r="G196" s="123" t="s">
        <v>3409</v>
      </c>
    </row>
    <row r="197" spans="1:7" x14ac:dyDescent="0.2">
      <c r="A197" s="68" t="s">
        <v>3806</v>
      </c>
      <c r="B197" s="64" t="s">
        <v>3435</v>
      </c>
      <c r="C197" s="116" t="s">
        <v>3744</v>
      </c>
      <c r="D197" s="123" t="s">
        <v>3425</v>
      </c>
      <c r="E197" s="68" t="s">
        <v>3807</v>
      </c>
      <c r="F197" s="70" t="s">
        <v>3409</v>
      </c>
      <c r="G197" s="68" t="s">
        <v>3808</v>
      </c>
    </row>
    <row r="198" spans="1:7" x14ac:dyDescent="0.25">
      <c r="A198" s="68" t="s">
        <v>3809</v>
      </c>
      <c r="B198" s="64" t="s">
        <v>3435</v>
      </c>
      <c r="C198" s="116" t="s">
        <v>3744</v>
      </c>
      <c r="D198" s="123" t="s">
        <v>3425</v>
      </c>
      <c r="E198" s="68" t="s">
        <v>3736</v>
      </c>
      <c r="F198" s="71" t="s">
        <v>3409</v>
      </c>
      <c r="G198" s="68" t="s">
        <v>3810</v>
      </c>
    </row>
    <row r="199" spans="1:7" x14ac:dyDescent="0.2">
      <c r="A199" s="68" t="s">
        <v>3811</v>
      </c>
      <c r="B199" s="64" t="s">
        <v>3435</v>
      </c>
      <c r="C199" s="116" t="s">
        <v>3744</v>
      </c>
      <c r="D199" s="123" t="s">
        <v>3425</v>
      </c>
      <c r="E199" s="68" t="s">
        <v>3812</v>
      </c>
      <c r="F199" s="70" t="s">
        <v>3409</v>
      </c>
      <c r="G199" s="68" t="s">
        <v>3813</v>
      </c>
    </row>
    <row r="200" spans="1:7" x14ac:dyDescent="0.25">
      <c r="A200" s="68" t="s">
        <v>3814</v>
      </c>
      <c r="B200" s="64" t="s">
        <v>3435</v>
      </c>
      <c r="C200" s="116" t="s">
        <v>3744</v>
      </c>
      <c r="D200" s="123" t="s">
        <v>3425</v>
      </c>
      <c r="E200" s="68" t="s">
        <v>3815</v>
      </c>
      <c r="F200" s="71" t="s">
        <v>3409</v>
      </c>
      <c r="G200" s="68" t="s">
        <v>3816</v>
      </c>
    </row>
    <row r="201" spans="1:7" x14ac:dyDescent="0.2">
      <c r="A201" s="68" t="s">
        <v>3817</v>
      </c>
      <c r="B201" s="64" t="s">
        <v>3435</v>
      </c>
      <c r="C201" s="116" t="s">
        <v>3744</v>
      </c>
      <c r="D201" s="123" t="s">
        <v>3425</v>
      </c>
      <c r="E201" s="68" t="s">
        <v>3818</v>
      </c>
      <c r="F201" s="70" t="s">
        <v>3409</v>
      </c>
      <c r="G201" s="118" t="s">
        <v>3409</v>
      </c>
    </row>
    <row r="202" spans="1:7" x14ac:dyDescent="0.25">
      <c r="A202" s="68" t="s">
        <v>3819</v>
      </c>
      <c r="B202" s="64" t="s">
        <v>3435</v>
      </c>
      <c r="C202" s="116" t="s">
        <v>3744</v>
      </c>
      <c r="D202" s="123" t="s">
        <v>3425</v>
      </c>
      <c r="E202" s="68" t="s">
        <v>3820</v>
      </c>
      <c r="F202" s="71" t="s">
        <v>3409</v>
      </c>
      <c r="G202" s="68" t="s">
        <v>3786</v>
      </c>
    </row>
    <row r="203" spans="1:7" x14ac:dyDescent="0.2">
      <c r="A203" s="68" t="s">
        <v>3821</v>
      </c>
      <c r="B203" s="64" t="s">
        <v>3435</v>
      </c>
      <c r="C203" s="116" t="s">
        <v>3744</v>
      </c>
      <c r="D203" s="123" t="s">
        <v>3425</v>
      </c>
      <c r="E203" s="68" t="s">
        <v>3822</v>
      </c>
      <c r="F203" s="70" t="s">
        <v>3409</v>
      </c>
      <c r="G203" s="68" t="s">
        <v>3823</v>
      </c>
    </row>
    <row r="204" spans="1:7" x14ac:dyDescent="0.2">
      <c r="A204" s="68" t="s">
        <v>3824</v>
      </c>
      <c r="B204" s="64" t="s">
        <v>3435</v>
      </c>
      <c r="C204" s="116" t="s">
        <v>3744</v>
      </c>
      <c r="D204" s="123" t="s">
        <v>3425</v>
      </c>
      <c r="E204" s="68" t="s">
        <v>3825</v>
      </c>
      <c r="F204" s="70" t="s">
        <v>3409</v>
      </c>
      <c r="G204" s="129">
        <v>14923</v>
      </c>
    </row>
    <row r="205" spans="1:7" x14ac:dyDescent="0.25">
      <c r="A205" s="122" t="s">
        <v>3826</v>
      </c>
      <c r="B205" s="64" t="s">
        <v>3435</v>
      </c>
      <c r="C205" s="116" t="s">
        <v>3744</v>
      </c>
      <c r="D205" s="123" t="s">
        <v>177</v>
      </c>
      <c r="E205" s="123" t="s">
        <v>3409</v>
      </c>
      <c r="F205" s="123" t="s">
        <v>3409</v>
      </c>
      <c r="G205" s="123" t="s">
        <v>3409</v>
      </c>
    </row>
    <row r="206" spans="1:7" x14ac:dyDescent="0.25">
      <c r="A206" s="68" t="s">
        <v>3827</v>
      </c>
      <c r="B206" s="64" t="s">
        <v>3435</v>
      </c>
      <c r="C206" s="116" t="s">
        <v>3744</v>
      </c>
      <c r="D206" s="123" t="s">
        <v>177</v>
      </c>
      <c r="E206" s="68" t="s">
        <v>3828</v>
      </c>
      <c r="F206" s="71" t="s">
        <v>3409</v>
      </c>
      <c r="G206" s="117" t="s">
        <v>3409</v>
      </c>
    </row>
    <row r="207" spans="1:7" x14ac:dyDescent="0.2">
      <c r="A207" s="68" t="s">
        <v>3829</v>
      </c>
      <c r="B207" s="64" t="s">
        <v>3435</v>
      </c>
      <c r="C207" s="116" t="s">
        <v>3744</v>
      </c>
      <c r="D207" s="123" t="s">
        <v>177</v>
      </c>
      <c r="E207" s="68" t="s">
        <v>3830</v>
      </c>
      <c r="F207" s="70" t="s">
        <v>3409</v>
      </c>
      <c r="G207" s="118" t="s">
        <v>3409</v>
      </c>
    </row>
    <row r="208" spans="1:7" x14ac:dyDescent="0.25">
      <c r="A208" s="68" t="s">
        <v>3831</v>
      </c>
      <c r="B208" s="64" t="s">
        <v>3435</v>
      </c>
      <c r="C208" s="116" t="s">
        <v>3744</v>
      </c>
      <c r="D208" s="123" t="s">
        <v>177</v>
      </c>
      <c r="E208" s="68" t="s">
        <v>3832</v>
      </c>
      <c r="F208" s="71" t="s">
        <v>3409</v>
      </c>
      <c r="G208" s="117" t="s">
        <v>3409</v>
      </c>
    </row>
    <row r="209" spans="1:7" x14ac:dyDescent="0.25">
      <c r="A209" s="68" t="s">
        <v>3833</v>
      </c>
      <c r="B209" s="64" t="s">
        <v>3435</v>
      </c>
      <c r="C209" s="116" t="s">
        <v>3744</v>
      </c>
      <c r="D209" s="123" t="s">
        <v>177</v>
      </c>
      <c r="E209" s="68" t="s">
        <v>3834</v>
      </c>
      <c r="F209" s="71" t="s">
        <v>3409</v>
      </c>
      <c r="G209" s="117" t="s">
        <v>3409</v>
      </c>
    </row>
    <row r="210" spans="1:7" x14ac:dyDescent="0.25">
      <c r="A210" s="115" t="s">
        <v>3835</v>
      </c>
      <c r="B210" s="64" t="s">
        <v>3435</v>
      </c>
      <c r="C210" s="116" t="s">
        <v>3836</v>
      </c>
      <c r="D210" s="116" t="s">
        <v>3409</v>
      </c>
      <c r="E210" s="116" t="s">
        <v>3409</v>
      </c>
      <c r="F210" s="116" t="s">
        <v>3409</v>
      </c>
      <c r="G210" s="116" t="s">
        <v>3409</v>
      </c>
    </row>
    <row r="211" spans="1:7" x14ac:dyDescent="0.25">
      <c r="A211" s="122" t="s">
        <v>3837</v>
      </c>
      <c r="B211" s="64" t="s">
        <v>3435</v>
      </c>
      <c r="C211" s="116" t="s">
        <v>3836</v>
      </c>
      <c r="D211" s="123" t="s">
        <v>3838</v>
      </c>
      <c r="E211" s="123" t="s">
        <v>3409</v>
      </c>
      <c r="F211" s="123" t="s">
        <v>3409</v>
      </c>
      <c r="G211" s="123" t="s">
        <v>3409</v>
      </c>
    </row>
    <row r="212" spans="1:7" x14ac:dyDescent="0.2">
      <c r="A212" s="68" t="s">
        <v>3839</v>
      </c>
      <c r="B212" s="64" t="s">
        <v>3435</v>
      </c>
      <c r="C212" s="116" t="s">
        <v>3836</v>
      </c>
      <c r="D212" s="123" t="s">
        <v>3838</v>
      </c>
      <c r="E212" s="68" t="s">
        <v>3840</v>
      </c>
      <c r="F212" s="70" t="s">
        <v>3409</v>
      </c>
      <c r="G212" s="118" t="s">
        <v>3409</v>
      </c>
    </row>
    <row r="213" spans="1:7" x14ac:dyDescent="0.25">
      <c r="A213" s="68" t="s">
        <v>3841</v>
      </c>
      <c r="B213" s="64" t="s">
        <v>3435</v>
      </c>
      <c r="C213" s="116" t="s">
        <v>3836</v>
      </c>
      <c r="D213" s="123" t="s">
        <v>3838</v>
      </c>
      <c r="E213" s="68" t="s">
        <v>3842</v>
      </c>
      <c r="F213" s="71" t="s">
        <v>3409</v>
      </c>
      <c r="G213" s="117" t="s">
        <v>3409</v>
      </c>
    </row>
    <row r="214" spans="1:7" x14ac:dyDescent="0.2">
      <c r="A214" s="68" t="s">
        <v>3843</v>
      </c>
      <c r="B214" s="64" t="s">
        <v>3435</v>
      </c>
      <c r="C214" s="116" t="s">
        <v>3836</v>
      </c>
      <c r="D214" s="123" t="s">
        <v>3838</v>
      </c>
      <c r="E214" s="68" t="s">
        <v>3844</v>
      </c>
      <c r="F214" s="70" t="s">
        <v>3409</v>
      </c>
      <c r="G214" s="118" t="s">
        <v>3409</v>
      </c>
    </row>
    <row r="215" spans="1:7" x14ac:dyDescent="0.2">
      <c r="A215" s="68" t="s">
        <v>3845</v>
      </c>
      <c r="B215" s="64" t="s">
        <v>3435</v>
      </c>
      <c r="C215" s="116" t="s">
        <v>3836</v>
      </c>
      <c r="D215" s="123" t="s">
        <v>3838</v>
      </c>
      <c r="E215" s="68" t="s">
        <v>3846</v>
      </c>
      <c r="F215" s="70" t="s">
        <v>3409</v>
      </c>
      <c r="G215" s="118" t="s">
        <v>3409</v>
      </c>
    </row>
    <row r="216" spans="1:7" x14ac:dyDescent="0.25">
      <c r="A216" s="68" t="s">
        <v>3847</v>
      </c>
      <c r="B216" s="64" t="s">
        <v>3435</v>
      </c>
      <c r="C216" s="116" t="s">
        <v>3836</v>
      </c>
      <c r="D216" s="123" t="s">
        <v>3838</v>
      </c>
      <c r="E216" s="68" t="s">
        <v>3848</v>
      </c>
      <c r="F216" s="71" t="s">
        <v>3409</v>
      </c>
      <c r="G216" s="117" t="s">
        <v>3409</v>
      </c>
    </row>
    <row r="217" spans="1:7" x14ac:dyDescent="0.25">
      <c r="A217" s="68" t="s">
        <v>3849</v>
      </c>
      <c r="B217" s="64" t="s">
        <v>3435</v>
      </c>
      <c r="C217" s="116" t="s">
        <v>3836</v>
      </c>
      <c r="D217" s="123" t="s">
        <v>3838</v>
      </c>
      <c r="E217" s="68" t="s">
        <v>3850</v>
      </c>
      <c r="F217" s="71" t="s">
        <v>3409</v>
      </c>
      <c r="G217" s="117" t="s">
        <v>3409</v>
      </c>
    </row>
    <row r="218" spans="1:7" x14ac:dyDescent="0.25">
      <c r="A218" s="122" t="s">
        <v>3851</v>
      </c>
      <c r="B218" s="64" t="s">
        <v>3435</v>
      </c>
      <c r="C218" s="116" t="s">
        <v>3836</v>
      </c>
      <c r="D218" s="123" t="s">
        <v>3852</v>
      </c>
      <c r="E218" s="123" t="s">
        <v>3409</v>
      </c>
      <c r="F218" s="123" t="s">
        <v>3409</v>
      </c>
      <c r="G218" s="123" t="s">
        <v>3409</v>
      </c>
    </row>
    <row r="219" spans="1:7" x14ac:dyDescent="0.25">
      <c r="A219" s="68" t="s">
        <v>3853</v>
      </c>
      <c r="B219" s="64" t="s">
        <v>3435</v>
      </c>
      <c r="C219" s="116" t="s">
        <v>3836</v>
      </c>
      <c r="D219" s="123" t="s">
        <v>3852</v>
      </c>
      <c r="E219" s="68" t="s">
        <v>3854</v>
      </c>
      <c r="F219" s="71" t="s">
        <v>3409</v>
      </c>
      <c r="G219" s="117" t="s">
        <v>3409</v>
      </c>
    </row>
    <row r="220" spans="1:7" x14ac:dyDescent="0.2">
      <c r="A220" s="68" t="s">
        <v>3855</v>
      </c>
      <c r="B220" s="64" t="s">
        <v>3435</v>
      </c>
      <c r="C220" s="116" t="s">
        <v>3836</v>
      </c>
      <c r="D220" s="123" t="s">
        <v>3852</v>
      </c>
      <c r="E220" s="68" t="s">
        <v>3856</v>
      </c>
      <c r="F220" s="70" t="s">
        <v>3409</v>
      </c>
      <c r="G220" s="118" t="s">
        <v>3409</v>
      </c>
    </row>
    <row r="221" spans="1:7" x14ac:dyDescent="0.25">
      <c r="A221" s="68" t="s">
        <v>3857</v>
      </c>
      <c r="B221" s="64" t="s">
        <v>3435</v>
      </c>
      <c r="C221" s="116" t="s">
        <v>3836</v>
      </c>
      <c r="D221" s="123" t="s">
        <v>3852</v>
      </c>
      <c r="E221" s="68" t="s">
        <v>3858</v>
      </c>
      <c r="F221" s="71" t="s">
        <v>3409</v>
      </c>
      <c r="G221" s="117" t="s">
        <v>3409</v>
      </c>
    </row>
    <row r="222" spans="1:7" x14ac:dyDescent="0.2">
      <c r="A222" s="68" t="s">
        <v>3859</v>
      </c>
      <c r="B222" s="64" t="s">
        <v>3435</v>
      </c>
      <c r="C222" s="116" t="s">
        <v>3836</v>
      </c>
      <c r="D222" s="123" t="s">
        <v>3852</v>
      </c>
      <c r="E222" s="68" t="s">
        <v>3860</v>
      </c>
      <c r="F222" s="70" t="s">
        <v>3409</v>
      </c>
      <c r="G222" s="118" t="s">
        <v>3409</v>
      </c>
    </row>
    <row r="223" spans="1:7" x14ac:dyDescent="0.25">
      <c r="A223" s="122" t="s">
        <v>3861</v>
      </c>
      <c r="B223" s="64" t="s">
        <v>3435</v>
      </c>
      <c r="C223" s="116" t="s">
        <v>3836</v>
      </c>
      <c r="D223" s="123" t="s">
        <v>3862</v>
      </c>
      <c r="E223" s="123" t="s">
        <v>3409</v>
      </c>
      <c r="F223" s="123" t="s">
        <v>3409</v>
      </c>
      <c r="G223" s="123" t="s">
        <v>3409</v>
      </c>
    </row>
    <row r="224" spans="1:7" x14ac:dyDescent="0.2">
      <c r="A224" s="68" t="s">
        <v>3863</v>
      </c>
      <c r="B224" s="64" t="s">
        <v>3435</v>
      </c>
      <c r="C224" s="116" t="s">
        <v>3836</v>
      </c>
      <c r="D224" s="123" t="s">
        <v>3862</v>
      </c>
      <c r="E224" s="68" t="s">
        <v>3864</v>
      </c>
      <c r="F224" s="70" t="s">
        <v>3409</v>
      </c>
      <c r="G224" s="118" t="s">
        <v>3409</v>
      </c>
    </row>
    <row r="225" spans="1:7" x14ac:dyDescent="0.25">
      <c r="A225" s="122" t="s">
        <v>3865</v>
      </c>
      <c r="B225" s="64" t="s">
        <v>3435</v>
      </c>
      <c r="C225" s="116" t="s">
        <v>3836</v>
      </c>
      <c r="D225" s="123" t="s">
        <v>3866</v>
      </c>
      <c r="E225" s="123" t="s">
        <v>3409</v>
      </c>
      <c r="F225" s="123" t="s">
        <v>3409</v>
      </c>
      <c r="G225" s="123" t="s">
        <v>3409</v>
      </c>
    </row>
    <row r="226" spans="1:7" x14ac:dyDescent="0.2">
      <c r="A226" s="68" t="s">
        <v>3867</v>
      </c>
      <c r="B226" s="64" t="s">
        <v>3435</v>
      </c>
      <c r="C226" s="116" t="s">
        <v>3836</v>
      </c>
      <c r="D226" s="123" t="s">
        <v>3866</v>
      </c>
      <c r="E226" s="68" t="s">
        <v>3868</v>
      </c>
      <c r="F226" s="70" t="s">
        <v>3409</v>
      </c>
      <c r="G226" s="118" t="s">
        <v>3409</v>
      </c>
    </row>
    <row r="227" spans="1:7" x14ac:dyDescent="0.25">
      <c r="A227" s="122" t="s">
        <v>3869</v>
      </c>
      <c r="B227" s="64" t="s">
        <v>3435</v>
      </c>
      <c r="C227" s="116" t="s">
        <v>3836</v>
      </c>
      <c r="D227" s="123" t="s">
        <v>3870</v>
      </c>
      <c r="E227" s="123" t="s">
        <v>3409</v>
      </c>
      <c r="F227" s="123" t="s">
        <v>3409</v>
      </c>
      <c r="G227" s="123" t="s">
        <v>3409</v>
      </c>
    </row>
    <row r="228" spans="1:7" x14ac:dyDescent="0.25">
      <c r="A228" s="68" t="s">
        <v>3871</v>
      </c>
      <c r="B228" s="64" t="s">
        <v>3435</v>
      </c>
      <c r="C228" s="116" t="s">
        <v>3836</v>
      </c>
      <c r="D228" s="123" t="s">
        <v>3870</v>
      </c>
      <c r="E228" s="121" t="s">
        <v>3872</v>
      </c>
      <c r="F228" s="71" t="s">
        <v>3409</v>
      </c>
      <c r="G228" s="117" t="s">
        <v>3409</v>
      </c>
    </row>
    <row r="229" spans="1:7" x14ac:dyDescent="0.25">
      <c r="A229" s="68" t="s">
        <v>3873</v>
      </c>
      <c r="B229" s="64" t="s">
        <v>3435</v>
      </c>
      <c r="C229" s="116" t="s">
        <v>3836</v>
      </c>
      <c r="D229" s="123" t="s">
        <v>3870</v>
      </c>
      <c r="E229" s="121" t="s">
        <v>3874</v>
      </c>
      <c r="F229" s="71" t="s">
        <v>3409</v>
      </c>
      <c r="G229" s="117" t="s">
        <v>3409</v>
      </c>
    </row>
    <row r="230" spans="1:7" x14ac:dyDescent="0.25">
      <c r="A230" s="115" t="s">
        <v>3875</v>
      </c>
      <c r="B230" s="64" t="s">
        <v>3435</v>
      </c>
      <c r="C230" s="116" t="s">
        <v>3876</v>
      </c>
      <c r="D230" s="116" t="s">
        <v>3409</v>
      </c>
      <c r="E230" s="116" t="s">
        <v>3409</v>
      </c>
      <c r="F230" s="116" t="s">
        <v>3409</v>
      </c>
      <c r="G230" s="116" t="s">
        <v>3409</v>
      </c>
    </row>
    <row r="231" spans="1:7" x14ac:dyDescent="0.25">
      <c r="A231" s="122" t="s">
        <v>3877</v>
      </c>
      <c r="B231" s="64" t="s">
        <v>3435</v>
      </c>
      <c r="C231" s="116" t="s">
        <v>3876</v>
      </c>
      <c r="D231" s="123" t="s">
        <v>3878</v>
      </c>
      <c r="E231" s="123" t="s">
        <v>3409</v>
      </c>
      <c r="F231" s="123" t="s">
        <v>3409</v>
      </c>
      <c r="G231" s="123" t="s">
        <v>3409</v>
      </c>
    </row>
    <row r="232" spans="1:7" x14ac:dyDescent="0.25">
      <c r="A232" s="158" t="s">
        <v>3879</v>
      </c>
      <c r="B232" s="147" t="s">
        <v>3435</v>
      </c>
      <c r="C232" s="149" t="s">
        <v>3876</v>
      </c>
      <c r="D232" s="150" t="s">
        <v>3878</v>
      </c>
      <c r="E232" s="159" t="s">
        <v>3880</v>
      </c>
      <c r="F232" s="125" t="s">
        <v>3409</v>
      </c>
      <c r="G232" s="125" t="s">
        <v>3409</v>
      </c>
    </row>
    <row r="233" spans="1:7" x14ac:dyDescent="0.2">
      <c r="A233" s="68" t="s">
        <v>3881</v>
      </c>
      <c r="B233" s="64" t="s">
        <v>3435</v>
      </c>
      <c r="C233" s="116" t="s">
        <v>3876</v>
      </c>
      <c r="D233" s="123" t="s">
        <v>3878</v>
      </c>
      <c r="E233" s="125" t="s">
        <v>3880</v>
      </c>
      <c r="F233" s="69" t="s">
        <v>3882</v>
      </c>
      <c r="G233" s="118" t="s">
        <v>3409</v>
      </c>
    </row>
    <row r="234" spans="1:7" x14ac:dyDescent="0.25">
      <c r="A234" s="68" t="s">
        <v>3883</v>
      </c>
      <c r="B234" s="64" t="s">
        <v>3435</v>
      </c>
      <c r="C234" s="116" t="s">
        <v>3876</v>
      </c>
      <c r="D234" s="123" t="s">
        <v>3878</v>
      </c>
      <c r="E234" s="125" t="s">
        <v>3880</v>
      </c>
      <c r="F234" s="69" t="s">
        <v>3884</v>
      </c>
      <c r="G234" s="117" t="s">
        <v>3409</v>
      </c>
    </row>
    <row r="235" spans="1:7" x14ac:dyDescent="0.2">
      <c r="A235" s="68" t="s">
        <v>3885</v>
      </c>
      <c r="B235" s="64" t="s">
        <v>3435</v>
      </c>
      <c r="C235" s="116" t="s">
        <v>3876</v>
      </c>
      <c r="D235" s="123" t="s">
        <v>3878</v>
      </c>
      <c r="E235" s="125" t="s">
        <v>3880</v>
      </c>
      <c r="F235" s="69" t="s">
        <v>3886</v>
      </c>
      <c r="G235" s="118" t="s">
        <v>3409</v>
      </c>
    </row>
    <row r="236" spans="1:7" x14ac:dyDescent="0.2">
      <c r="A236" s="68" t="s">
        <v>3887</v>
      </c>
      <c r="B236" s="64" t="s">
        <v>3435</v>
      </c>
      <c r="C236" s="116" t="s">
        <v>3876</v>
      </c>
      <c r="D236" s="123" t="s">
        <v>3878</v>
      </c>
      <c r="E236" s="125" t="s">
        <v>3880</v>
      </c>
      <c r="F236" s="69" t="s">
        <v>3888</v>
      </c>
      <c r="G236" s="118" t="s">
        <v>3409</v>
      </c>
    </row>
    <row r="237" spans="1:7" x14ac:dyDescent="0.25">
      <c r="A237" s="68" t="s">
        <v>3889</v>
      </c>
      <c r="B237" s="64" t="s">
        <v>3435</v>
      </c>
      <c r="C237" s="116" t="s">
        <v>3876</v>
      </c>
      <c r="D237" s="123" t="s">
        <v>3878</v>
      </c>
      <c r="E237" s="125" t="s">
        <v>3880</v>
      </c>
      <c r="F237" s="69" t="s">
        <v>3890</v>
      </c>
      <c r="G237" s="117" t="s">
        <v>3409</v>
      </c>
    </row>
    <row r="238" spans="1:7" x14ac:dyDescent="0.25">
      <c r="A238" s="68" t="s">
        <v>3891</v>
      </c>
      <c r="B238" s="64" t="s">
        <v>3435</v>
      </c>
      <c r="C238" s="116" t="s">
        <v>3876</v>
      </c>
      <c r="D238" s="123" t="s">
        <v>3878</v>
      </c>
      <c r="E238" s="125" t="s">
        <v>3880</v>
      </c>
      <c r="F238" s="69" t="s">
        <v>3892</v>
      </c>
      <c r="G238" s="68" t="s">
        <v>3893</v>
      </c>
    </row>
    <row r="239" spans="1:7" x14ac:dyDescent="0.25">
      <c r="A239" s="124" t="s">
        <v>3894</v>
      </c>
      <c r="B239" s="64" t="s">
        <v>3435</v>
      </c>
      <c r="C239" s="116" t="s">
        <v>3876</v>
      </c>
      <c r="D239" s="123" t="s">
        <v>3878</v>
      </c>
      <c r="E239" s="125" t="s">
        <v>3895</v>
      </c>
      <c r="F239" s="125" t="s">
        <v>3409</v>
      </c>
      <c r="G239" s="125" t="s">
        <v>3409</v>
      </c>
    </row>
    <row r="240" spans="1:7" x14ac:dyDescent="0.2">
      <c r="A240" s="68" t="s">
        <v>3896</v>
      </c>
      <c r="B240" s="64" t="s">
        <v>3435</v>
      </c>
      <c r="C240" s="116" t="s">
        <v>3876</v>
      </c>
      <c r="D240" s="123" t="s">
        <v>3878</v>
      </c>
      <c r="E240" s="125" t="s">
        <v>3895</v>
      </c>
      <c r="F240" s="69" t="s">
        <v>3897</v>
      </c>
      <c r="G240" s="118" t="s">
        <v>3409</v>
      </c>
    </row>
    <row r="241" spans="1:7" x14ac:dyDescent="0.25">
      <c r="A241" s="68" t="s">
        <v>3898</v>
      </c>
      <c r="B241" s="64" t="s">
        <v>3435</v>
      </c>
      <c r="C241" s="116" t="s">
        <v>3876</v>
      </c>
      <c r="D241" s="123" t="s">
        <v>3878</v>
      </c>
      <c r="E241" s="125" t="s">
        <v>3895</v>
      </c>
      <c r="F241" s="69" t="s">
        <v>3899</v>
      </c>
      <c r="G241" s="117" t="s">
        <v>3409</v>
      </c>
    </row>
    <row r="242" spans="1:7" x14ac:dyDescent="0.2">
      <c r="A242" s="68" t="s">
        <v>3900</v>
      </c>
      <c r="B242" s="64" t="s">
        <v>3435</v>
      </c>
      <c r="C242" s="116" t="s">
        <v>3876</v>
      </c>
      <c r="D242" s="123" t="s">
        <v>3878</v>
      </c>
      <c r="E242" s="125" t="s">
        <v>3895</v>
      </c>
      <c r="F242" s="69" t="s">
        <v>3901</v>
      </c>
      <c r="G242" s="118" t="s">
        <v>3409</v>
      </c>
    </row>
    <row r="243" spans="1:7" x14ac:dyDescent="0.25">
      <c r="A243" s="68" t="s">
        <v>3902</v>
      </c>
      <c r="B243" s="64" t="s">
        <v>3435</v>
      </c>
      <c r="C243" s="116" t="s">
        <v>3876</v>
      </c>
      <c r="D243" s="123" t="s">
        <v>3878</v>
      </c>
      <c r="E243" s="125" t="s">
        <v>3895</v>
      </c>
      <c r="F243" s="69" t="s">
        <v>3903</v>
      </c>
      <c r="G243" s="117" t="s">
        <v>3409</v>
      </c>
    </row>
    <row r="244" spans="1:7" x14ac:dyDescent="0.25">
      <c r="A244" s="124" t="s">
        <v>3904</v>
      </c>
      <c r="B244" s="64" t="s">
        <v>3435</v>
      </c>
      <c r="C244" s="116" t="s">
        <v>3876</v>
      </c>
      <c r="D244" s="123" t="s">
        <v>3878</v>
      </c>
      <c r="E244" s="125" t="s">
        <v>3905</v>
      </c>
      <c r="F244" s="125" t="s">
        <v>3409</v>
      </c>
      <c r="G244" s="125" t="s">
        <v>3409</v>
      </c>
    </row>
    <row r="245" spans="1:7" x14ac:dyDescent="0.25">
      <c r="A245" s="68" t="s">
        <v>3906</v>
      </c>
      <c r="B245" s="64" t="s">
        <v>3435</v>
      </c>
      <c r="C245" s="116" t="s">
        <v>3876</v>
      </c>
      <c r="D245" s="123" t="s">
        <v>3878</v>
      </c>
      <c r="E245" s="125" t="s">
        <v>3905</v>
      </c>
      <c r="F245" s="73" t="s">
        <v>3907</v>
      </c>
      <c r="G245" s="117" t="s">
        <v>3409</v>
      </c>
    </row>
    <row r="246" spans="1:7" x14ac:dyDescent="0.25">
      <c r="A246" s="68" t="s">
        <v>3908</v>
      </c>
      <c r="B246" s="64" t="s">
        <v>3435</v>
      </c>
      <c r="C246" s="116" t="s">
        <v>3876</v>
      </c>
      <c r="D246" s="123" t="s">
        <v>3878</v>
      </c>
      <c r="E246" s="125" t="s">
        <v>3905</v>
      </c>
      <c r="F246" s="73" t="s">
        <v>3909</v>
      </c>
      <c r="G246" s="117" t="s">
        <v>3409</v>
      </c>
    </row>
    <row r="247" spans="1:7" x14ac:dyDescent="0.25">
      <c r="A247" s="120" t="s">
        <v>3910</v>
      </c>
      <c r="B247" s="64" t="s">
        <v>3435</v>
      </c>
      <c r="C247" s="116" t="s">
        <v>3876</v>
      </c>
      <c r="D247" s="123" t="s">
        <v>3878</v>
      </c>
      <c r="E247" s="125" t="s">
        <v>3905</v>
      </c>
      <c r="F247" s="69" t="s">
        <v>3911</v>
      </c>
      <c r="G247" s="117" t="s">
        <v>3409</v>
      </c>
    </row>
    <row r="248" spans="1:7" x14ac:dyDescent="0.25">
      <c r="A248" s="120" t="s">
        <v>3912</v>
      </c>
      <c r="B248" s="64" t="s">
        <v>3435</v>
      </c>
      <c r="C248" s="116" t="s">
        <v>3876</v>
      </c>
      <c r="D248" s="123" t="s">
        <v>3878</v>
      </c>
      <c r="E248" s="125" t="s">
        <v>3905</v>
      </c>
      <c r="F248" s="69" t="s">
        <v>3913</v>
      </c>
      <c r="G248" s="117" t="s">
        <v>3409</v>
      </c>
    </row>
    <row r="249" spans="1:7" x14ac:dyDescent="0.25">
      <c r="A249" s="120" t="s">
        <v>3914</v>
      </c>
      <c r="B249" s="64" t="s">
        <v>3435</v>
      </c>
      <c r="C249" s="116" t="s">
        <v>3876</v>
      </c>
      <c r="D249" s="123" t="s">
        <v>3878</v>
      </c>
      <c r="E249" s="125" t="s">
        <v>3905</v>
      </c>
      <c r="F249" s="69" t="s">
        <v>3915</v>
      </c>
      <c r="G249" s="117" t="s">
        <v>3409</v>
      </c>
    </row>
    <row r="250" spans="1:7" x14ac:dyDescent="0.25">
      <c r="A250" s="120" t="s">
        <v>3916</v>
      </c>
      <c r="B250" s="64" t="s">
        <v>3435</v>
      </c>
      <c r="C250" s="116" t="s">
        <v>3876</v>
      </c>
      <c r="D250" s="123" t="s">
        <v>3878</v>
      </c>
      <c r="E250" s="125" t="s">
        <v>3905</v>
      </c>
      <c r="F250" s="69" t="s">
        <v>3917</v>
      </c>
      <c r="G250" s="117" t="s">
        <v>3409</v>
      </c>
    </row>
    <row r="251" spans="1:7" x14ac:dyDescent="0.25">
      <c r="A251" s="120" t="s">
        <v>3918</v>
      </c>
      <c r="B251" s="64" t="s">
        <v>3435</v>
      </c>
      <c r="C251" s="116" t="s">
        <v>3876</v>
      </c>
      <c r="D251" s="123" t="s">
        <v>3878</v>
      </c>
      <c r="E251" s="125" t="s">
        <v>3905</v>
      </c>
      <c r="F251" s="69" t="s">
        <v>3919</v>
      </c>
      <c r="G251" s="117" t="s">
        <v>3409</v>
      </c>
    </row>
    <row r="252" spans="1:7" x14ac:dyDescent="0.25">
      <c r="A252" s="122" t="s">
        <v>3920</v>
      </c>
      <c r="B252" s="64" t="s">
        <v>3435</v>
      </c>
      <c r="C252" s="116" t="s">
        <v>3876</v>
      </c>
      <c r="D252" s="123" t="s">
        <v>3921</v>
      </c>
      <c r="E252" s="123" t="s">
        <v>3409</v>
      </c>
      <c r="F252" s="123" t="s">
        <v>3409</v>
      </c>
      <c r="G252" s="123" t="s">
        <v>3409</v>
      </c>
    </row>
    <row r="253" spans="1:7" x14ac:dyDescent="0.25">
      <c r="A253" s="68" t="s">
        <v>3922</v>
      </c>
      <c r="B253" s="64" t="s">
        <v>3435</v>
      </c>
      <c r="C253" s="116" t="s">
        <v>3876</v>
      </c>
      <c r="D253" s="123" t="s">
        <v>3921</v>
      </c>
      <c r="E253" s="68" t="s">
        <v>3923</v>
      </c>
      <c r="F253" s="71" t="s">
        <v>3409</v>
      </c>
      <c r="G253" s="117" t="s">
        <v>3409</v>
      </c>
    </row>
    <row r="254" spans="1:7" x14ac:dyDescent="0.2">
      <c r="A254" s="68" t="s">
        <v>3924</v>
      </c>
      <c r="B254" s="64" t="s">
        <v>3435</v>
      </c>
      <c r="C254" s="116" t="s">
        <v>3876</v>
      </c>
      <c r="D254" s="123" t="s">
        <v>3921</v>
      </c>
      <c r="E254" s="68" t="s">
        <v>3925</v>
      </c>
      <c r="F254" s="70" t="s">
        <v>3409</v>
      </c>
      <c r="G254" s="118" t="s">
        <v>3409</v>
      </c>
    </row>
    <row r="255" spans="1:7" x14ac:dyDescent="0.25">
      <c r="A255" s="68" t="s">
        <v>3926</v>
      </c>
      <c r="B255" s="64" t="s">
        <v>3435</v>
      </c>
      <c r="C255" s="116" t="s">
        <v>3876</v>
      </c>
      <c r="D255" s="123" t="s">
        <v>3921</v>
      </c>
      <c r="E255" s="121" t="s">
        <v>3927</v>
      </c>
      <c r="F255" s="71" t="s">
        <v>3409</v>
      </c>
      <c r="G255" s="117" t="s">
        <v>3409</v>
      </c>
    </row>
    <row r="256" spans="1:7" x14ac:dyDescent="0.25">
      <c r="A256" s="68" t="s">
        <v>3928</v>
      </c>
      <c r="B256" s="64" t="s">
        <v>3435</v>
      </c>
      <c r="C256" s="116" t="s">
        <v>3876</v>
      </c>
      <c r="D256" s="123" t="s">
        <v>3921</v>
      </c>
      <c r="E256" s="121" t="s">
        <v>3929</v>
      </c>
      <c r="F256" s="71" t="s">
        <v>3409</v>
      </c>
      <c r="G256" s="117" t="s">
        <v>3409</v>
      </c>
    </row>
    <row r="257" spans="1:7" x14ac:dyDescent="0.25">
      <c r="A257" s="122" t="s">
        <v>3930</v>
      </c>
      <c r="B257" s="64" t="s">
        <v>3435</v>
      </c>
      <c r="C257" s="116" t="s">
        <v>3876</v>
      </c>
      <c r="D257" s="123" t="s">
        <v>3931</v>
      </c>
      <c r="E257" s="123" t="s">
        <v>3409</v>
      </c>
      <c r="F257" s="123" t="s">
        <v>3409</v>
      </c>
      <c r="G257" s="123" t="s">
        <v>3409</v>
      </c>
    </row>
    <row r="258" spans="1:7" x14ac:dyDescent="0.25">
      <c r="A258" s="68" t="s">
        <v>3932</v>
      </c>
      <c r="B258" s="64" t="s">
        <v>3435</v>
      </c>
      <c r="C258" s="116" t="s">
        <v>3876</v>
      </c>
      <c r="D258" s="123" t="s">
        <v>3931</v>
      </c>
      <c r="E258" s="68" t="s">
        <v>3933</v>
      </c>
      <c r="F258" s="71" t="s">
        <v>3409</v>
      </c>
      <c r="G258" s="117" t="s">
        <v>3409</v>
      </c>
    </row>
    <row r="259" spans="1:7" x14ac:dyDescent="0.2">
      <c r="A259" s="68" t="s">
        <v>3934</v>
      </c>
      <c r="B259" s="64" t="s">
        <v>3435</v>
      </c>
      <c r="C259" s="116" t="s">
        <v>3876</v>
      </c>
      <c r="D259" s="123" t="s">
        <v>3931</v>
      </c>
      <c r="E259" s="68" t="s">
        <v>3935</v>
      </c>
      <c r="F259" s="70" t="s">
        <v>3409</v>
      </c>
      <c r="G259" s="118" t="s">
        <v>3409</v>
      </c>
    </row>
    <row r="260" spans="1:7" x14ac:dyDescent="0.25">
      <c r="A260" s="68" t="s">
        <v>3936</v>
      </c>
      <c r="B260" s="64" t="s">
        <v>3435</v>
      </c>
      <c r="C260" s="116" t="s">
        <v>3876</v>
      </c>
      <c r="D260" s="123" t="s">
        <v>3931</v>
      </c>
      <c r="E260" s="68" t="s">
        <v>3937</v>
      </c>
      <c r="F260" s="71" t="s">
        <v>3409</v>
      </c>
      <c r="G260" s="117" t="s">
        <v>3409</v>
      </c>
    </row>
    <row r="261" spans="1:7" x14ac:dyDescent="0.2">
      <c r="A261" s="68" t="s">
        <v>3938</v>
      </c>
      <c r="B261" s="64" t="s">
        <v>3435</v>
      </c>
      <c r="C261" s="116" t="s">
        <v>3876</v>
      </c>
      <c r="D261" s="68" t="s">
        <v>3939</v>
      </c>
      <c r="E261" s="118" t="s">
        <v>3409</v>
      </c>
      <c r="F261" s="70" t="s">
        <v>3409</v>
      </c>
      <c r="G261" s="118" t="s">
        <v>3409</v>
      </c>
    </row>
    <row r="262" spans="1:7" x14ac:dyDescent="0.25">
      <c r="A262" s="151" t="s">
        <v>3940</v>
      </c>
      <c r="B262" s="147" t="s">
        <v>3435</v>
      </c>
      <c r="C262" s="149" t="s">
        <v>3876</v>
      </c>
      <c r="D262" s="150" t="s">
        <v>3941</v>
      </c>
      <c r="E262" s="150" t="s">
        <v>3409</v>
      </c>
      <c r="F262" s="123" t="s">
        <v>3409</v>
      </c>
      <c r="G262" s="123" t="s">
        <v>3409</v>
      </c>
    </row>
    <row r="263" spans="1:7" x14ac:dyDescent="0.2">
      <c r="A263" s="68" t="s">
        <v>3942</v>
      </c>
      <c r="B263" s="64" t="s">
        <v>3435</v>
      </c>
      <c r="C263" s="116" t="s">
        <v>3876</v>
      </c>
      <c r="D263" s="123" t="s">
        <v>3941</v>
      </c>
      <c r="E263" s="68" t="s">
        <v>3943</v>
      </c>
      <c r="F263" s="70" t="s">
        <v>3409</v>
      </c>
      <c r="G263" s="118" t="s">
        <v>3409</v>
      </c>
    </row>
    <row r="264" spans="1:7" x14ac:dyDescent="0.25">
      <c r="A264" s="68" t="s">
        <v>3944</v>
      </c>
      <c r="B264" s="64" t="s">
        <v>3435</v>
      </c>
      <c r="C264" s="116" t="s">
        <v>3876</v>
      </c>
      <c r="D264" s="123" t="s">
        <v>3941</v>
      </c>
      <c r="E264" s="68" t="s">
        <v>3945</v>
      </c>
      <c r="F264" s="71" t="s">
        <v>3409</v>
      </c>
      <c r="G264" s="117" t="s">
        <v>3409</v>
      </c>
    </row>
    <row r="265" spans="1:7" x14ac:dyDescent="0.2">
      <c r="A265" s="68" t="s">
        <v>3946</v>
      </c>
      <c r="B265" s="64" t="s">
        <v>3435</v>
      </c>
      <c r="C265" s="116" t="s">
        <v>3876</v>
      </c>
      <c r="D265" s="123" t="s">
        <v>3941</v>
      </c>
      <c r="E265" s="68" t="s">
        <v>3947</v>
      </c>
      <c r="F265" s="70" t="s">
        <v>3409</v>
      </c>
      <c r="G265" s="118" t="s">
        <v>3409</v>
      </c>
    </row>
    <row r="266" spans="1:7" x14ac:dyDescent="0.25">
      <c r="A266" s="68" t="s">
        <v>3948</v>
      </c>
      <c r="B266" s="64" t="s">
        <v>3435</v>
      </c>
      <c r="C266" s="116" t="s">
        <v>3876</v>
      </c>
      <c r="D266" s="123" t="s">
        <v>3941</v>
      </c>
      <c r="E266" s="68" t="s">
        <v>3949</v>
      </c>
      <c r="F266" s="71" t="s">
        <v>3409</v>
      </c>
      <c r="G266" s="117" t="s">
        <v>3409</v>
      </c>
    </row>
    <row r="267" spans="1:7" x14ac:dyDescent="0.2">
      <c r="A267" s="68" t="s">
        <v>3950</v>
      </c>
      <c r="B267" s="64" t="s">
        <v>3435</v>
      </c>
      <c r="C267" s="116" t="s">
        <v>3876</v>
      </c>
      <c r="D267" s="123" t="s">
        <v>3941</v>
      </c>
      <c r="E267" s="68" t="s">
        <v>3951</v>
      </c>
      <c r="F267" s="70" t="s">
        <v>3409</v>
      </c>
      <c r="G267" s="118" t="s">
        <v>3409</v>
      </c>
    </row>
    <row r="268" spans="1:7" x14ac:dyDescent="0.25">
      <c r="A268" s="68" t="s">
        <v>3952</v>
      </c>
      <c r="B268" s="64" t="s">
        <v>3435</v>
      </c>
      <c r="C268" s="116" t="s">
        <v>3876</v>
      </c>
      <c r="D268" s="123" t="s">
        <v>3941</v>
      </c>
      <c r="E268" s="68" t="s">
        <v>3953</v>
      </c>
      <c r="F268" s="71" t="s">
        <v>3409</v>
      </c>
      <c r="G268" s="117" t="s">
        <v>3409</v>
      </c>
    </row>
    <row r="269" spans="1:7" x14ac:dyDescent="0.2">
      <c r="A269" s="68" t="s">
        <v>3954</v>
      </c>
      <c r="B269" s="64" t="s">
        <v>3435</v>
      </c>
      <c r="C269" s="116" t="s">
        <v>3876</v>
      </c>
      <c r="D269" s="123" t="s">
        <v>3941</v>
      </c>
      <c r="E269" s="68" t="s">
        <v>3955</v>
      </c>
      <c r="F269" s="70" t="s">
        <v>3409</v>
      </c>
      <c r="G269" s="118" t="s">
        <v>3409</v>
      </c>
    </row>
    <row r="270" spans="1:7" x14ac:dyDescent="0.25">
      <c r="A270" s="68" t="s">
        <v>3956</v>
      </c>
      <c r="B270" s="64" t="s">
        <v>3435</v>
      </c>
      <c r="C270" s="116" t="s">
        <v>3876</v>
      </c>
      <c r="D270" s="123" t="s">
        <v>3941</v>
      </c>
      <c r="E270" s="68" t="s">
        <v>3957</v>
      </c>
      <c r="F270" s="71" t="s">
        <v>3409</v>
      </c>
      <c r="G270" s="117" t="s">
        <v>3409</v>
      </c>
    </row>
    <row r="271" spans="1:7" x14ac:dyDescent="0.2">
      <c r="A271" s="68" t="s">
        <v>3958</v>
      </c>
      <c r="B271" s="64" t="s">
        <v>3435</v>
      </c>
      <c r="C271" s="116" t="s">
        <v>3876</v>
      </c>
      <c r="D271" s="123" t="s">
        <v>3941</v>
      </c>
      <c r="E271" s="68" t="s">
        <v>3959</v>
      </c>
      <c r="F271" s="70" t="s">
        <v>3409</v>
      </c>
      <c r="G271" s="118" t="s">
        <v>3409</v>
      </c>
    </row>
    <row r="272" spans="1:7" x14ac:dyDescent="0.25">
      <c r="A272" s="68" t="s">
        <v>3960</v>
      </c>
      <c r="B272" s="64" t="s">
        <v>3435</v>
      </c>
      <c r="C272" s="116" t="s">
        <v>3876</v>
      </c>
      <c r="D272" s="123" t="s">
        <v>3941</v>
      </c>
      <c r="E272" s="68" t="s">
        <v>3961</v>
      </c>
      <c r="F272" s="71" t="s">
        <v>3409</v>
      </c>
      <c r="G272" s="117" t="s">
        <v>3409</v>
      </c>
    </row>
    <row r="273" spans="1:7" x14ac:dyDescent="0.25">
      <c r="A273" s="122" t="s">
        <v>3962</v>
      </c>
      <c r="B273" s="64" t="s">
        <v>3435</v>
      </c>
      <c r="C273" s="116" t="s">
        <v>3876</v>
      </c>
      <c r="D273" s="123" t="s">
        <v>3963</v>
      </c>
      <c r="E273" s="123" t="s">
        <v>3409</v>
      </c>
      <c r="F273" s="123" t="s">
        <v>3409</v>
      </c>
      <c r="G273" s="123" t="s">
        <v>3409</v>
      </c>
    </row>
    <row r="274" spans="1:7" x14ac:dyDescent="0.25">
      <c r="A274" s="68" t="s">
        <v>3964</v>
      </c>
      <c r="B274" s="64" t="s">
        <v>3435</v>
      </c>
      <c r="C274" s="116" t="s">
        <v>3876</v>
      </c>
      <c r="D274" s="123" t="s">
        <v>3963</v>
      </c>
      <c r="E274" s="68" t="s">
        <v>3965</v>
      </c>
      <c r="F274" s="71" t="s">
        <v>3409</v>
      </c>
      <c r="G274" s="117" t="s">
        <v>3409</v>
      </c>
    </row>
    <row r="275" spans="1:7" x14ac:dyDescent="0.2">
      <c r="A275" s="68" t="s">
        <v>3966</v>
      </c>
      <c r="B275" s="64" t="s">
        <v>3435</v>
      </c>
      <c r="C275" s="116" t="s">
        <v>3876</v>
      </c>
      <c r="D275" s="123" t="s">
        <v>3963</v>
      </c>
      <c r="E275" s="68" t="s">
        <v>3967</v>
      </c>
      <c r="F275" s="70" t="s">
        <v>3409</v>
      </c>
      <c r="G275" s="118" t="s">
        <v>3409</v>
      </c>
    </row>
    <row r="276" spans="1:7" x14ac:dyDescent="0.25">
      <c r="A276" s="68" t="s">
        <v>3968</v>
      </c>
      <c r="B276" s="64" t="s">
        <v>3435</v>
      </c>
      <c r="C276" s="116" t="s">
        <v>3876</v>
      </c>
      <c r="D276" s="123" t="s">
        <v>3963</v>
      </c>
      <c r="E276" s="68" t="s">
        <v>3969</v>
      </c>
      <c r="F276" s="71" t="s">
        <v>3409</v>
      </c>
      <c r="G276" s="117" t="s">
        <v>3409</v>
      </c>
    </row>
    <row r="277" spans="1:7" x14ac:dyDescent="0.25">
      <c r="A277" s="68" t="s">
        <v>3970</v>
      </c>
      <c r="B277" s="64" t="s">
        <v>3435</v>
      </c>
      <c r="C277" s="116" t="s">
        <v>3876</v>
      </c>
      <c r="D277" s="123" t="s">
        <v>3963</v>
      </c>
      <c r="E277" s="68" t="s">
        <v>3971</v>
      </c>
      <c r="F277" s="71" t="s">
        <v>3409</v>
      </c>
      <c r="G277" s="117" t="s">
        <v>3409</v>
      </c>
    </row>
    <row r="278" spans="1:7" x14ac:dyDescent="0.25">
      <c r="A278" s="68" t="s">
        <v>3972</v>
      </c>
      <c r="B278" s="64" t="s">
        <v>3435</v>
      </c>
      <c r="C278" s="116" t="s">
        <v>3876</v>
      </c>
      <c r="D278" s="123" t="s">
        <v>3963</v>
      </c>
      <c r="E278" s="68" t="s">
        <v>3973</v>
      </c>
      <c r="F278" s="71" t="s">
        <v>3409</v>
      </c>
      <c r="G278" s="117" t="s">
        <v>3409</v>
      </c>
    </row>
    <row r="279" spans="1:7" x14ac:dyDescent="0.2">
      <c r="A279" s="68" t="s">
        <v>3974</v>
      </c>
      <c r="B279" s="64" t="s">
        <v>3435</v>
      </c>
      <c r="C279" s="116" t="s">
        <v>3876</v>
      </c>
      <c r="D279" s="123" t="s">
        <v>3963</v>
      </c>
      <c r="E279" s="68" t="s">
        <v>3975</v>
      </c>
      <c r="F279" s="70" t="s">
        <v>3409</v>
      </c>
      <c r="G279" s="118" t="s">
        <v>3409</v>
      </c>
    </row>
    <row r="280" spans="1:7" x14ac:dyDescent="0.25">
      <c r="A280" s="68" t="s">
        <v>3976</v>
      </c>
      <c r="B280" s="64" t="s">
        <v>3435</v>
      </c>
      <c r="C280" s="116" t="s">
        <v>3876</v>
      </c>
      <c r="D280" s="123" t="s">
        <v>3963</v>
      </c>
      <c r="E280" s="68" t="s">
        <v>3977</v>
      </c>
      <c r="F280" s="71" t="s">
        <v>3409</v>
      </c>
      <c r="G280" s="117" t="s">
        <v>3409</v>
      </c>
    </row>
    <row r="281" spans="1:7" x14ac:dyDescent="0.2">
      <c r="A281" s="68" t="s">
        <v>3978</v>
      </c>
      <c r="B281" s="64" t="s">
        <v>3435</v>
      </c>
      <c r="C281" s="116" t="s">
        <v>3876</v>
      </c>
      <c r="D281" s="123" t="s">
        <v>3963</v>
      </c>
      <c r="E281" s="68" t="s">
        <v>3979</v>
      </c>
      <c r="F281" s="70" t="s">
        <v>3409</v>
      </c>
      <c r="G281" s="118" t="s">
        <v>3409</v>
      </c>
    </row>
    <row r="282" spans="1:7" x14ac:dyDescent="0.25">
      <c r="A282" s="68" t="s">
        <v>3980</v>
      </c>
      <c r="B282" s="64" t="s">
        <v>3435</v>
      </c>
      <c r="C282" s="116" t="s">
        <v>3876</v>
      </c>
      <c r="D282" s="123" t="s">
        <v>3963</v>
      </c>
      <c r="E282" s="68" t="s">
        <v>3981</v>
      </c>
      <c r="F282" s="71" t="s">
        <v>3409</v>
      </c>
      <c r="G282" s="117" t="s">
        <v>3409</v>
      </c>
    </row>
    <row r="283" spans="1:7" x14ac:dyDescent="0.2">
      <c r="A283" s="68" t="s">
        <v>3982</v>
      </c>
      <c r="B283" s="64" t="s">
        <v>3435</v>
      </c>
      <c r="C283" s="116" t="s">
        <v>3876</v>
      </c>
      <c r="D283" s="123" t="s">
        <v>3963</v>
      </c>
      <c r="E283" s="68" t="s">
        <v>3983</v>
      </c>
      <c r="F283" s="70" t="s">
        <v>3409</v>
      </c>
      <c r="G283" s="118" t="s">
        <v>3409</v>
      </c>
    </row>
    <row r="284" spans="1:7" x14ac:dyDescent="0.25">
      <c r="A284" s="68" t="s">
        <v>3984</v>
      </c>
      <c r="B284" s="64" t="s">
        <v>3435</v>
      </c>
      <c r="C284" s="116" t="s">
        <v>3876</v>
      </c>
      <c r="D284" s="123" t="s">
        <v>3963</v>
      </c>
      <c r="E284" s="68" t="s">
        <v>3985</v>
      </c>
      <c r="F284" s="71" t="s">
        <v>3409</v>
      </c>
      <c r="G284" s="117" t="s">
        <v>3409</v>
      </c>
    </row>
    <row r="285" spans="1:7" x14ac:dyDescent="0.2">
      <c r="A285" s="68" t="s">
        <v>3986</v>
      </c>
      <c r="B285" s="64" t="s">
        <v>3435</v>
      </c>
      <c r="C285" s="116" t="s">
        <v>3876</v>
      </c>
      <c r="D285" s="123" t="s">
        <v>3963</v>
      </c>
      <c r="E285" s="68" t="s">
        <v>3987</v>
      </c>
      <c r="F285" s="70" t="s">
        <v>3409</v>
      </c>
      <c r="G285" s="118" t="s">
        <v>3409</v>
      </c>
    </row>
    <row r="286" spans="1:7" x14ac:dyDescent="0.25">
      <c r="A286" s="68" t="s">
        <v>3988</v>
      </c>
      <c r="B286" s="64" t="s">
        <v>3435</v>
      </c>
      <c r="C286" s="116" t="s">
        <v>3876</v>
      </c>
      <c r="D286" s="123" t="s">
        <v>3963</v>
      </c>
      <c r="E286" s="68" t="s">
        <v>3989</v>
      </c>
      <c r="F286" s="71" t="s">
        <v>3409</v>
      </c>
      <c r="G286" s="117" t="s">
        <v>3409</v>
      </c>
    </row>
    <row r="287" spans="1:7" x14ac:dyDescent="0.25">
      <c r="A287" s="122" t="s">
        <v>3990</v>
      </c>
      <c r="B287" s="64" t="s">
        <v>3435</v>
      </c>
      <c r="C287" s="116" t="s">
        <v>3876</v>
      </c>
      <c r="D287" s="123" t="s">
        <v>3991</v>
      </c>
      <c r="E287" s="123" t="s">
        <v>3409</v>
      </c>
      <c r="F287" s="123" t="s">
        <v>3409</v>
      </c>
      <c r="G287" s="123" t="s">
        <v>3409</v>
      </c>
    </row>
    <row r="288" spans="1:7" x14ac:dyDescent="0.25">
      <c r="A288" s="68" t="s">
        <v>3992</v>
      </c>
      <c r="B288" s="64" t="s">
        <v>3435</v>
      </c>
      <c r="C288" s="116" t="s">
        <v>3876</v>
      </c>
      <c r="D288" s="123" t="s">
        <v>3991</v>
      </c>
      <c r="E288" s="68" t="s">
        <v>3993</v>
      </c>
      <c r="F288" s="71" t="s">
        <v>3409</v>
      </c>
      <c r="G288" s="117" t="s">
        <v>3409</v>
      </c>
    </row>
    <row r="289" spans="1:7" x14ac:dyDescent="0.2">
      <c r="A289" s="68" t="s">
        <v>3994</v>
      </c>
      <c r="B289" s="64" t="s">
        <v>3435</v>
      </c>
      <c r="C289" s="116" t="s">
        <v>3876</v>
      </c>
      <c r="D289" s="123" t="s">
        <v>3991</v>
      </c>
      <c r="E289" s="68" t="s">
        <v>3995</v>
      </c>
      <c r="F289" s="70" t="s">
        <v>3409</v>
      </c>
      <c r="G289" s="118" t="s">
        <v>3409</v>
      </c>
    </row>
    <row r="290" spans="1:7" x14ac:dyDescent="0.25">
      <c r="A290" s="68" t="s">
        <v>3996</v>
      </c>
      <c r="B290" s="64" t="s">
        <v>3435</v>
      </c>
      <c r="C290" s="116" t="s">
        <v>3876</v>
      </c>
      <c r="D290" s="123" t="s">
        <v>3991</v>
      </c>
      <c r="E290" s="68" t="s">
        <v>3997</v>
      </c>
      <c r="F290" s="71" t="s">
        <v>3409</v>
      </c>
      <c r="G290" s="117" t="s">
        <v>3409</v>
      </c>
    </row>
    <row r="291" spans="1:7" x14ac:dyDescent="0.2">
      <c r="A291" s="68" t="s">
        <v>3998</v>
      </c>
      <c r="B291" s="64" t="s">
        <v>3435</v>
      </c>
      <c r="C291" s="116" t="s">
        <v>3876</v>
      </c>
      <c r="D291" s="123" t="s">
        <v>3991</v>
      </c>
      <c r="E291" s="68" t="s">
        <v>3999</v>
      </c>
      <c r="F291" s="70" t="s">
        <v>3409</v>
      </c>
      <c r="G291" s="118" t="s">
        <v>3409</v>
      </c>
    </row>
    <row r="292" spans="1:7" x14ac:dyDescent="0.25">
      <c r="A292" s="68" t="s">
        <v>4000</v>
      </c>
      <c r="B292" s="64" t="s">
        <v>3435</v>
      </c>
      <c r="C292" s="116" t="s">
        <v>3876</v>
      </c>
      <c r="D292" s="123" t="s">
        <v>3991</v>
      </c>
      <c r="E292" s="68" t="s">
        <v>4001</v>
      </c>
      <c r="F292" s="71" t="s">
        <v>3409</v>
      </c>
      <c r="G292" s="117" t="s">
        <v>3409</v>
      </c>
    </row>
    <row r="293" spans="1:7" x14ac:dyDescent="0.2">
      <c r="A293" s="68" t="s">
        <v>4002</v>
      </c>
      <c r="B293" s="64" t="s">
        <v>3435</v>
      </c>
      <c r="C293" s="116" t="s">
        <v>3876</v>
      </c>
      <c r="D293" s="123" t="s">
        <v>3991</v>
      </c>
      <c r="E293" s="68" t="s">
        <v>4003</v>
      </c>
      <c r="F293" s="70" t="s">
        <v>3409</v>
      </c>
      <c r="G293" s="118" t="s">
        <v>3409</v>
      </c>
    </row>
    <row r="294" spans="1:7" x14ac:dyDescent="0.25">
      <c r="A294" s="68" t="s">
        <v>4004</v>
      </c>
      <c r="B294" s="64" t="s">
        <v>3435</v>
      </c>
      <c r="C294" s="116" t="s">
        <v>3876</v>
      </c>
      <c r="D294" s="123" t="s">
        <v>3991</v>
      </c>
      <c r="E294" s="68" t="s">
        <v>4005</v>
      </c>
      <c r="F294" s="71" t="s">
        <v>3409</v>
      </c>
      <c r="G294" s="117" t="s">
        <v>3409</v>
      </c>
    </row>
    <row r="295" spans="1:7" x14ac:dyDescent="0.25">
      <c r="A295" s="122" t="s">
        <v>4006</v>
      </c>
      <c r="B295" s="64" t="s">
        <v>3435</v>
      </c>
      <c r="C295" s="116" t="s">
        <v>3876</v>
      </c>
      <c r="D295" s="123" t="s">
        <v>4007</v>
      </c>
      <c r="E295" s="123" t="s">
        <v>3409</v>
      </c>
      <c r="F295" s="123" t="s">
        <v>3409</v>
      </c>
      <c r="G295" s="123" t="s">
        <v>3409</v>
      </c>
    </row>
    <row r="296" spans="1:7" x14ac:dyDescent="0.25">
      <c r="A296" s="68" t="s">
        <v>4008</v>
      </c>
      <c r="B296" s="64" t="s">
        <v>3435</v>
      </c>
      <c r="C296" s="116" t="s">
        <v>3876</v>
      </c>
      <c r="D296" s="123" t="s">
        <v>4007</v>
      </c>
      <c r="E296" s="68" t="s">
        <v>4009</v>
      </c>
      <c r="F296" s="71" t="s">
        <v>3409</v>
      </c>
      <c r="G296" s="68" t="s">
        <v>4010</v>
      </c>
    </row>
    <row r="297" spans="1:7" x14ac:dyDescent="0.2">
      <c r="A297" s="68" t="s">
        <v>4011</v>
      </c>
      <c r="B297" s="64" t="s">
        <v>3435</v>
      </c>
      <c r="C297" s="116" t="s">
        <v>3876</v>
      </c>
      <c r="D297" s="123" t="s">
        <v>4007</v>
      </c>
      <c r="E297" s="68" t="s">
        <v>4012</v>
      </c>
      <c r="F297" s="70" t="s">
        <v>3409</v>
      </c>
      <c r="G297" s="68" t="s">
        <v>4010</v>
      </c>
    </row>
    <row r="298" spans="1:7" x14ac:dyDescent="0.25">
      <c r="A298" s="68" t="s">
        <v>4013</v>
      </c>
      <c r="B298" s="64" t="s">
        <v>3435</v>
      </c>
      <c r="C298" s="116" t="s">
        <v>3876</v>
      </c>
      <c r="D298" s="123" t="s">
        <v>4007</v>
      </c>
      <c r="E298" s="68" t="s">
        <v>4014</v>
      </c>
      <c r="F298" s="71" t="s">
        <v>3409</v>
      </c>
      <c r="G298" s="68" t="s">
        <v>4015</v>
      </c>
    </row>
    <row r="299" spans="1:7" x14ac:dyDescent="0.2">
      <c r="A299" s="68" t="s">
        <v>4016</v>
      </c>
      <c r="B299" s="64" t="s">
        <v>3435</v>
      </c>
      <c r="C299" s="116" t="s">
        <v>3876</v>
      </c>
      <c r="D299" s="123" t="s">
        <v>4007</v>
      </c>
      <c r="E299" s="68" t="s">
        <v>4017</v>
      </c>
      <c r="F299" s="70" t="s">
        <v>3409</v>
      </c>
      <c r="G299" s="118" t="s">
        <v>3409</v>
      </c>
    </row>
    <row r="300" spans="1:7" x14ac:dyDescent="0.25">
      <c r="A300" s="68" t="s">
        <v>4018</v>
      </c>
      <c r="B300" s="64" t="s">
        <v>3435</v>
      </c>
      <c r="C300" s="116" t="s">
        <v>3876</v>
      </c>
      <c r="D300" s="123" t="s">
        <v>4007</v>
      </c>
      <c r="E300" s="68" t="s">
        <v>4019</v>
      </c>
      <c r="F300" s="71" t="s">
        <v>3409</v>
      </c>
      <c r="G300" s="68" t="s">
        <v>4020</v>
      </c>
    </row>
    <row r="301" spans="1:7" x14ac:dyDescent="0.2">
      <c r="A301" s="68" t="s">
        <v>4021</v>
      </c>
      <c r="B301" s="64" t="s">
        <v>3435</v>
      </c>
      <c r="C301" s="116" t="s">
        <v>3876</v>
      </c>
      <c r="D301" s="123" t="s">
        <v>4007</v>
      </c>
      <c r="E301" s="68" t="s">
        <v>4022</v>
      </c>
      <c r="F301" s="70" t="s">
        <v>3409</v>
      </c>
      <c r="G301" s="118" t="s">
        <v>3409</v>
      </c>
    </row>
    <row r="302" spans="1:7" x14ac:dyDescent="0.25">
      <c r="A302" s="68" t="s">
        <v>4023</v>
      </c>
      <c r="B302" s="64" t="s">
        <v>3435</v>
      </c>
      <c r="C302" s="116" t="s">
        <v>3876</v>
      </c>
      <c r="D302" s="123" t="s">
        <v>4007</v>
      </c>
      <c r="E302" s="68" t="s">
        <v>4024</v>
      </c>
      <c r="F302" s="71" t="s">
        <v>3409</v>
      </c>
      <c r="G302" s="117" t="s">
        <v>3409</v>
      </c>
    </row>
    <row r="303" spans="1:7" x14ac:dyDescent="0.2">
      <c r="A303" s="68" t="s">
        <v>4025</v>
      </c>
      <c r="B303" s="64" t="s">
        <v>3435</v>
      </c>
      <c r="C303" s="116" t="s">
        <v>3876</v>
      </c>
      <c r="D303" s="123" t="s">
        <v>4007</v>
      </c>
      <c r="E303" s="68" t="s">
        <v>4026</v>
      </c>
      <c r="F303" s="70" t="s">
        <v>3409</v>
      </c>
      <c r="G303" s="118" t="s">
        <v>3409</v>
      </c>
    </row>
    <row r="304" spans="1:7" x14ac:dyDescent="0.25">
      <c r="A304" s="68" t="s">
        <v>4027</v>
      </c>
      <c r="B304" s="64" t="s">
        <v>3435</v>
      </c>
      <c r="C304" s="116" t="s">
        <v>3876</v>
      </c>
      <c r="D304" s="123" t="s">
        <v>4007</v>
      </c>
      <c r="E304" s="68" t="s">
        <v>4028</v>
      </c>
      <c r="F304" s="71" t="s">
        <v>3409</v>
      </c>
      <c r="G304" s="117" t="s">
        <v>3409</v>
      </c>
    </row>
    <row r="305" spans="1:7" x14ac:dyDescent="0.2">
      <c r="A305" s="68" t="s">
        <v>4029</v>
      </c>
      <c r="B305" s="64" t="s">
        <v>3435</v>
      </c>
      <c r="C305" s="116" t="s">
        <v>3876</v>
      </c>
      <c r="D305" s="123" t="s">
        <v>4007</v>
      </c>
      <c r="E305" s="68" t="s">
        <v>4030</v>
      </c>
      <c r="F305" s="70" t="s">
        <v>3409</v>
      </c>
      <c r="G305" s="118" t="s">
        <v>3409</v>
      </c>
    </row>
    <row r="306" spans="1:7" x14ac:dyDescent="0.25">
      <c r="A306" s="68" t="s">
        <v>4031</v>
      </c>
      <c r="B306" s="64" t="s">
        <v>3435</v>
      </c>
      <c r="C306" s="116" t="s">
        <v>3876</v>
      </c>
      <c r="D306" s="123" t="s">
        <v>4007</v>
      </c>
      <c r="E306" s="68" t="s">
        <v>4032</v>
      </c>
      <c r="F306" s="71" t="s">
        <v>3409</v>
      </c>
      <c r="G306" s="117" t="s">
        <v>3409</v>
      </c>
    </row>
    <row r="307" spans="1:7" x14ac:dyDescent="0.2">
      <c r="A307" s="68" t="s">
        <v>4033</v>
      </c>
      <c r="B307" s="64" t="s">
        <v>3435</v>
      </c>
      <c r="C307" s="116" t="s">
        <v>3876</v>
      </c>
      <c r="D307" s="123" t="s">
        <v>4007</v>
      </c>
      <c r="E307" s="68" t="s">
        <v>4034</v>
      </c>
      <c r="F307" s="70" t="s">
        <v>3409</v>
      </c>
      <c r="G307" s="118" t="s">
        <v>3409</v>
      </c>
    </row>
    <row r="308" spans="1:7" x14ac:dyDescent="0.25">
      <c r="A308" s="68" t="s">
        <v>4035</v>
      </c>
      <c r="B308" s="64" t="s">
        <v>3435</v>
      </c>
      <c r="C308" s="116" t="s">
        <v>3876</v>
      </c>
      <c r="D308" s="123" t="s">
        <v>4007</v>
      </c>
      <c r="E308" s="68" t="s">
        <v>4036</v>
      </c>
      <c r="F308" s="71" t="s">
        <v>3409</v>
      </c>
      <c r="G308" s="68" t="s">
        <v>4037</v>
      </c>
    </row>
    <row r="309" spans="1:7" x14ac:dyDescent="0.25">
      <c r="A309" s="68" t="s">
        <v>4038</v>
      </c>
      <c r="B309" s="64" t="s">
        <v>3435</v>
      </c>
      <c r="C309" s="116" t="s">
        <v>3876</v>
      </c>
      <c r="D309" s="123" t="s">
        <v>4007</v>
      </c>
      <c r="E309" s="68" t="s">
        <v>4039</v>
      </c>
      <c r="F309" s="71" t="s">
        <v>3409</v>
      </c>
      <c r="G309" s="68" t="s">
        <v>4040</v>
      </c>
    </row>
    <row r="310" spans="1:7" x14ac:dyDescent="0.2">
      <c r="A310" s="68" t="s">
        <v>4041</v>
      </c>
      <c r="B310" s="64" t="s">
        <v>3435</v>
      </c>
      <c r="C310" s="116" t="s">
        <v>3876</v>
      </c>
      <c r="D310" s="123" t="s">
        <v>4007</v>
      </c>
      <c r="E310" s="68" t="s">
        <v>4042</v>
      </c>
      <c r="F310" s="70" t="s">
        <v>3409</v>
      </c>
      <c r="G310" s="68" t="s">
        <v>4043</v>
      </c>
    </row>
    <row r="311" spans="1:7" x14ac:dyDescent="0.25">
      <c r="A311" s="68" t="s">
        <v>4044</v>
      </c>
      <c r="B311" s="64" t="s">
        <v>3435</v>
      </c>
      <c r="C311" s="116" t="s">
        <v>3876</v>
      </c>
      <c r="D311" s="123" t="s">
        <v>4007</v>
      </c>
      <c r="E311" s="68" t="s">
        <v>4045</v>
      </c>
      <c r="F311" s="71" t="s">
        <v>3409</v>
      </c>
      <c r="G311" s="117" t="s">
        <v>3409</v>
      </c>
    </row>
    <row r="312" spans="1:7" x14ac:dyDescent="0.25">
      <c r="A312" s="68" t="s">
        <v>4046</v>
      </c>
      <c r="B312" s="64" t="s">
        <v>3435</v>
      </c>
      <c r="C312" s="116" t="s">
        <v>3876</v>
      </c>
      <c r="D312" s="123" t="s">
        <v>4007</v>
      </c>
      <c r="E312" s="68" t="s">
        <v>4047</v>
      </c>
      <c r="F312" s="71" t="s">
        <v>3409</v>
      </c>
      <c r="G312" s="117" t="s">
        <v>3409</v>
      </c>
    </row>
    <row r="313" spans="1:7" x14ac:dyDescent="0.2">
      <c r="A313" s="68" t="s">
        <v>4048</v>
      </c>
      <c r="B313" s="64" t="s">
        <v>3435</v>
      </c>
      <c r="C313" s="116" t="s">
        <v>3876</v>
      </c>
      <c r="D313" s="123" t="s">
        <v>4007</v>
      </c>
      <c r="E313" s="68" t="s">
        <v>4049</v>
      </c>
      <c r="F313" s="70" t="s">
        <v>3409</v>
      </c>
      <c r="G313" s="118" t="s">
        <v>3409</v>
      </c>
    </row>
    <row r="314" spans="1:7" x14ac:dyDescent="0.25">
      <c r="A314" s="68" t="s">
        <v>4050</v>
      </c>
      <c r="B314" s="64" t="s">
        <v>3435</v>
      </c>
      <c r="C314" s="116" t="s">
        <v>3876</v>
      </c>
      <c r="D314" s="123" t="s">
        <v>4007</v>
      </c>
      <c r="E314" s="68" t="s">
        <v>4051</v>
      </c>
      <c r="F314" s="71" t="s">
        <v>3409</v>
      </c>
      <c r="G314" s="117" t="s">
        <v>3409</v>
      </c>
    </row>
    <row r="315" spans="1:7" x14ac:dyDescent="0.2">
      <c r="A315" s="68" t="s">
        <v>4052</v>
      </c>
      <c r="B315" s="64" t="s">
        <v>3435</v>
      </c>
      <c r="C315" s="116" t="s">
        <v>3876</v>
      </c>
      <c r="D315" s="123" t="s">
        <v>4007</v>
      </c>
      <c r="E315" s="68" t="s">
        <v>4053</v>
      </c>
      <c r="F315" s="70" t="s">
        <v>3409</v>
      </c>
      <c r="G315" s="118" t="s">
        <v>3409</v>
      </c>
    </row>
    <row r="316" spans="1:7" x14ac:dyDescent="0.25">
      <c r="A316" s="68" t="s">
        <v>4054</v>
      </c>
      <c r="B316" s="64" t="s">
        <v>3435</v>
      </c>
      <c r="C316" s="116" t="s">
        <v>3876</v>
      </c>
      <c r="D316" s="123" t="s">
        <v>4007</v>
      </c>
      <c r="E316" s="68" t="s">
        <v>4055</v>
      </c>
      <c r="F316" s="71" t="s">
        <v>3409</v>
      </c>
      <c r="G316" s="117" t="s">
        <v>3409</v>
      </c>
    </row>
    <row r="317" spans="1:7" x14ac:dyDescent="0.25">
      <c r="A317" s="122" t="s">
        <v>4056</v>
      </c>
      <c r="B317" s="64" t="s">
        <v>3435</v>
      </c>
      <c r="C317" s="116" t="s">
        <v>3876</v>
      </c>
      <c r="D317" s="123" t="s">
        <v>4057</v>
      </c>
      <c r="E317" s="123" t="s">
        <v>3409</v>
      </c>
      <c r="F317" s="123" t="s">
        <v>3409</v>
      </c>
      <c r="G317" s="123" t="s">
        <v>3409</v>
      </c>
    </row>
    <row r="318" spans="1:7" x14ac:dyDescent="0.2">
      <c r="A318" s="68" t="s">
        <v>4058</v>
      </c>
      <c r="B318" s="64" t="s">
        <v>3435</v>
      </c>
      <c r="C318" s="116" t="s">
        <v>3876</v>
      </c>
      <c r="D318" s="123" t="s">
        <v>4057</v>
      </c>
      <c r="E318" s="68" t="s">
        <v>4059</v>
      </c>
      <c r="F318" s="70" t="s">
        <v>3409</v>
      </c>
      <c r="G318" s="118" t="s">
        <v>3409</v>
      </c>
    </row>
    <row r="319" spans="1:7" x14ac:dyDescent="0.25">
      <c r="A319" s="68" t="s">
        <v>4060</v>
      </c>
      <c r="B319" s="64" t="s">
        <v>3435</v>
      </c>
      <c r="C319" s="116" t="s">
        <v>3876</v>
      </c>
      <c r="D319" s="123" t="s">
        <v>4057</v>
      </c>
      <c r="E319" s="68" t="s">
        <v>4061</v>
      </c>
      <c r="F319" s="71" t="s">
        <v>3409</v>
      </c>
      <c r="G319" s="68" t="s">
        <v>4062</v>
      </c>
    </row>
    <row r="320" spans="1:7" x14ac:dyDescent="0.2">
      <c r="A320" s="68" t="s">
        <v>4063</v>
      </c>
      <c r="B320" s="64" t="s">
        <v>3435</v>
      </c>
      <c r="C320" s="116" t="s">
        <v>3876</v>
      </c>
      <c r="D320" s="123" t="s">
        <v>4057</v>
      </c>
      <c r="E320" s="68" t="s">
        <v>4064</v>
      </c>
      <c r="F320" s="70" t="s">
        <v>3409</v>
      </c>
      <c r="G320" s="68" t="s">
        <v>4065</v>
      </c>
    </row>
    <row r="321" spans="1:7" x14ac:dyDescent="0.25">
      <c r="A321" s="68" t="s">
        <v>4066</v>
      </c>
      <c r="B321" s="64" t="s">
        <v>3435</v>
      </c>
      <c r="C321" s="116" t="s">
        <v>3876</v>
      </c>
      <c r="D321" s="123" t="s">
        <v>4057</v>
      </c>
      <c r="E321" s="68" t="s">
        <v>4067</v>
      </c>
      <c r="F321" s="71" t="s">
        <v>3409</v>
      </c>
      <c r="G321" s="117" t="s">
        <v>3409</v>
      </c>
    </row>
    <row r="322" spans="1:7" x14ac:dyDescent="0.25">
      <c r="A322" s="124" t="s">
        <v>4068</v>
      </c>
      <c r="B322" s="64" t="s">
        <v>3435</v>
      </c>
      <c r="C322" s="116" t="s">
        <v>3876</v>
      </c>
      <c r="D322" s="123" t="s">
        <v>4057</v>
      </c>
      <c r="E322" s="125" t="s">
        <v>4069</v>
      </c>
      <c r="F322" s="125" t="s">
        <v>3409</v>
      </c>
      <c r="G322" s="125" t="s">
        <v>3409</v>
      </c>
    </row>
    <row r="323" spans="1:7" x14ac:dyDescent="0.25">
      <c r="A323" s="68" t="s">
        <v>4070</v>
      </c>
      <c r="B323" s="64" t="s">
        <v>3435</v>
      </c>
      <c r="C323" s="116" t="s">
        <v>3876</v>
      </c>
      <c r="D323" s="123" t="s">
        <v>4057</v>
      </c>
      <c r="E323" s="125" t="s">
        <v>4069</v>
      </c>
      <c r="F323" s="69" t="s">
        <v>4071</v>
      </c>
      <c r="G323" s="117" t="s">
        <v>3409</v>
      </c>
    </row>
    <row r="324" spans="1:7" x14ac:dyDescent="0.2">
      <c r="A324" s="68" t="s">
        <v>4072</v>
      </c>
      <c r="B324" s="64" t="s">
        <v>3435</v>
      </c>
      <c r="C324" s="116" t="s">
        <v>3876</v>
      </c>
      <c r="D324" s="123" t="s">
        <v>4057</v>
      </c>
      <c r="E324" s="125" t="s">
        <v>4069</v>
      </c>
      <c r="F324" s="69" t="s">
        <v>4073</v>
      </c>
      <c r="G324" s="118" t="s">
        <v>3409</v>
      </c>
    </row>
    <row r="325" spans="1:7" x14ac:dyDescent="0.25">
      <c r="A325" s="68" t="s">
        <v>4074</v>
      </c>
      <c r="B325" s="64" t="s">
        <v>3435</v>
      </c>
      <c r="C325" s="116" t="s">
        <v>3876</v>
      </c>
      <c r="D325" s="123" t="s">
        <v>4057</v>
      </c>
      <c r="E325" s="125" t="s">
        <v>4069</v>
      </c>
      <c r="F325" s="69" t="s">
        <v>4075</v>
      </c>
      <c r="G325" s="117" t="s">
        <v>3409</v>
      </c>
    </row>
    <row r="326" spans="1:7" x14ac:dyDescent="0.2">
      <c r="A326" s="68" t="s">
        <v>4076</v>
      </c>
      <c r="B326" s="64" t="s">
        <v>3435</v>
      </c>
      <c r="C326" s="116" t="s">
        <v>3876</v>
      </c>
      <c r="D326" s="123" t="s">
        <v>4057</v>
      </c>
      <c r="E326" s="125" t="s">
        <v>4069</v>
      </c>
      <c r="F326" s="69" t="s">
        <v>4077</v>
      </c>
      <c r="G326" s="118" t="s">
        <v>3409</v>
      </c>
    </row>
    <row r="327" spans="1:7" x14ac:dyDescent="0.25">
      <c r="A327" s="68" t="s">
        <v>4078</v>
      </c>
      <c r="B327" s="64" t="s">
        <v>3435</v>
      </c>
      <c r="C327" s="116" t="s">
        <v>3876</v>
      </c>
      <c r="D327" s="123" t="s">
        <v>4057</v>
      </c>
      <c r="E327" s="68" t="s">
        <v>4079</v>
      </c>
      <c r="F327" s="71" t="s">
        <v>3409</v>
      </c>
      <c r="G327" s="117" t="s">
        <v>3409</v>
      </c>
    </row>
    <row r="328" spans="1:7" x14ac:dyDescent="0.25">
      <c r="A328" s="124" t="s">
        <v>4080</v>
      </c>
      <c r="B328" s="64" t="s">
        <v>3435</v>
      </c>
      <c r="C328" s="116" t="s">
        <v>3876</v>
      </c>
      <c r="D328" s="123" t="s">
        <v>4057</v>
      </c>
      <c r="E328" s="125" t="s">
        <v>4081</v>
      </c>
      <c r="F328" s="125" t="s">
        <v>3409</v>
      </c>
      <c r="G328" s="130" t="s">
        <v>4082</v>
      </c>
    </row>
    <row r="329" spans="1:7" x14ac:dyDescent="0.25">
      <c r="A329" s="68" t="s">
        <v>4083</v>
      </c>
      <c r="B329" s="64" t="s">
        <v>3435</v>
      </c>
      <c r="C329" s="116" t="s">
        <v>3876</v>
      </c>
      <c r="D329" s="123" t="s">
        <v>4057</v>
      </c>
      <c r="E329" s="125" t="s">
        <v>4081</v>
      </c>
      <c r="F329" s="69" t="s">
        <v>4084</v>
      </c>
      <c r="G329" s="117" t="s">
        <v>3409</v>
      </c>
    </row>
    <row r="330" spans="1:7" x14ac:dyDescent="0.25">
      <c r="A330" s="68" t="s">
        <v>4085</v>
      </c>
      <c r="B330" s="64" t="s">
        <v>3435</v>
      </c>
      <c r="C330" s="116" t="s">
        <v>3876</v>
      </c>
      <c r="D330" s="123" t="s">
        <v>4057</v>
      </c>
      <c r="E330" s="125" t="s">
        <v>4081</v>
      </c>
      <c r="F330" s="69" t="s">
        <v>4086</v>
      </c>
      <c r="G330" s="117" t="s">
        <v>3409</v>
      </c>
    </row>
    <row r="331" spans="1:7" x14ac:dyDescent="0.25">
      <c r="A331" s="68" t="s">
        <v>4087</v>
      </c>
      <c r="B331" s="64" t="s">
        <v>3435</v>
      </c>
      <c r="C331" s="116" t="s">
        <v>3876</v>
      </c>
      <c r="D331" s="123" t="s">
        <v>4057</v>
      </c>
      <c r="E331" s="68" t="s">
        <v>4088</v>
      </c>
      <c r="F331" s="71" t="s">
        <v>3409</v>
      </c>
      <c r="G331" s="117" t="s">
        <v>3409</v>
      </c>
    </row>
    <row r="332" spans="1:7" x14ac:dyDescent="0.2">
      <c r="A332" s="68" t="s">
        <v>4089</v>
      </c>
      <c r="B332" s="64" t="s">
        <v>3435</v>
      </c>
      <c r="C332" s="116" t="s">
        <v>3876</v>
      </c>
      <c r="D332" s="123" t="s">
        <v>4057</v>
      </c>
      <c r="E332" s="68" t="s">
        <v>4090</v>
      </c>
      <c r="F332" s="70" t="s">
        <v>3409</v>
      </c>
      <c r="G332" s="68" t="s">
        <v>4091</v>
      </c>
    </row>
    <row r="333" spans="1:7" x14ac:dyDescent="0.25">
      <c r="A333" s="68" t="s">
        <v>4092</v>
      </c>
      <c r="B333" s="64" t="s">
        <v>3435</v>
      </c>
      <c r="C333" s="116" t="s">
        <v>3876</v>
      </c>
      <c r="D333" s="123" t="s">
        <v>4057</v>
      </c>
      <c r="E333" s="68" t="s">
        <v>4093</v>
      </c>
      <c r="F333" s="71" t="s">
        <v>3409</v>
      </c>
      <c r="G333" s="117" t="s">
        <v>3409</v>
      </c>
    </row>
    <row r="334" spans="1:7" x14ac:dyDescent="0.2">
      <c r="A334" s="68" t="s">
        <v>4094</v>
      </c>
      <c r="B334" s="64" t="s">
        <v>3435</v>
      </c>
      <c r="C334" s="116" t="s">
        <v>3876</v>
      </c>
      <c r="D334" s="123" t="s">
        <v>4057</v>
      </c>
      <c r="E334" s="68" t="s">
        <v>4095</v>
      </c>
      <c r="F334" s="70" t="s">
        <v>3409</v>
      </c>
      <c r="G334" s="118" t="s">
        <v>3409</v>
      </c>
    </row>
    <row r="335" spans="1:7" x14ac:dyDescent="0.25">
      <c r="A335" s="68" t="s">
        <v>4096</v>
      </c>
      <c r="B335" s="64" t="s">
        <v>3435</v>
      </c>
      <c r="C335" s="116" t="s">
        <v>3876</v>
      </c>
      <c r="D335" s="123" t="s">
        <v>4057</v>
      </c>
      <c r="E335" s="68" t="s">
        <v>4097</v>
      </c>
      <c r="F335" s="71" t="s">
        <v>3409</v>
      </c>
      <c r="G335" s="117" t="s">
        <v>3409</v>
      </c>
    </row>
    <row r="336" spans="1:7" x14ac:dyDescent="0.2">
      <c r="A336" s="68" t="s">
        <v>4098</v>
      </c>
      <c r="B336" s="64" t="s">
        <v>3435</v>
      </c>
      <c r="C336" s="116" t="s">
        <v>3876</v>
      </c>
      <c r="D336" s="123" t="s">
        <v>4057</v>
      </c>
      <c r="E336" s="68" t="s">
        <v>4099</v>
      </c>
      <c r="F336" s="70" t="s">
        <v>3409</v>
      </c>
      <c r="G336" s="118" t="s">
        <v>3409</v>
      </c>
    </row>
    <row r="337" spans="1:7" x14ac:dyDescent="0.25">
      <c r="A337" s="68" t="s">
        <v>4100</v>
      </c>
      <c r="B337" s="64" t="s">
        <v>3435</v>
      </c>
      <c r="C337" s="116" t="s">
        <v>3876</v>
      </c>
      <c r="D337" s="123" t="s">
        <v>4057</v>
      </c>
      <c r="E337" s="68" t="s">
        <v>4101</v>
      </c>
      <c r="F337" s="71" t="s">
        <v>3409</v>
      </c>
      <c r="G337" s="117" t="s">
        <v>3409</v>
      </c>
    </row>
    <row r="338" spans="1:7" x14ac:dyDescent="0.2">
      <c r="A338" s="68" t="s">
        <v>4102</v>
      </c>
      <c r="B338" s="64" t="s">
        <v>3435</v>
      </c>
      <c r="C338" s="116" t="s">
        <v>3876</v>
      </c>
      <c r="D338" s="123" t="s">
        <v>4057</v>
      </c>
      <c r="E338" s="68" t="s">
        <v>4103</v>
      </c>
      <c r="F338" s="70" t="s">
        <v>3409</v>
      </c>
      <c r="G338" s="118" t="s">
        <v>3409</v>
      </c>
    </row>
    <row r="339" spans="1:7" x14ac:dyDescent="0.25">
      <c r="A339" s="68" t="s">
        <v>4104</v>
      </c>
      <c r="B339" s="64" t="s">
        <v>3435</v>
      </c>
      <c r="C339" s="116" t="s">
        <v>3876</v>
      </c>
      <c r="D339" s="123" t="s">
        <v>4057</v>
      </c>
      <c r="E339" s="68" t="s">
        <v>4105</v>
      </c>
      <c r="F339" s="71" t="s">
        <v>3409</v>
      </c>
      <c r="G339" s="117" t="s">
        <v>3409</v>
      </c>
    </row>
    <row r="340" spans="1:7" x14ac:dyDescent="0.2">
      <c r="A340" s="68" t="s">
        <v>4106</v>
      </c>
      <c r="B340" s="64" t="s">
        <v>3435</v>
      </c>
      <c r="C340" s="116" t="s">
        <v>3876</v>
      </c>
      <c r="D340" s="123" t="s">
        <v>4057</v>
      </c>
      <c r="E340" s="68" t="s">
        <v>4107</v>
      </c>
      <c r="F340" s="70" t="s">
        <v>3409</v>
      </c>
      <c r="G340" s="118" t="s">
        <v>3409</v>
      </c>
    </row>
    <row r="341" spans="1:7" x14ac:dyDescent="0.2">
      <c r="A341" s="68" t="s">
        <v>4108</v>
      </c>
      <c r="B341" s="64" t="s">
        <v>3435</v>
      </c>
      <c r="C341" s="116" t="s">
        <v>3876</v>
      </c>
      <c r="D341" s="123" t="s">
        <v>4057</v>
      </c>
      <c r="E341" s="68" t="s">
        <v>4109</v>
      </c>
      <c r="F341" s="70" t="s">
        <v>3409</v>
      </c>
      <c r="G341" s="118" t="s">
        <v>3409</v>
      </c>
    </row>
    <row r="342" spans="1:7" x14ac:dyDescent="0.25">
      <c r="A342" s="68" t="s">
        <v>4110</v>
      </c>
      <c r="B342" s="64" t="s">
        <v>3435</v>
      </c>
      <c r="C342" s="116" t="s">
        <v>3876</v>
      </c>
      <c r="D342" s="123" t="s">
        <v>4057</v>
      </c>
      <c r="E342" s="68" t="s">
        <v>4111</v>
      </c>
      <c r="F342" s="71" t="s">
        <v>3409</v>
      </c>
      <c r="G342" s="117" t="s">
        <v>3409</v>
      </c>
    </row>
    <row r="343" spans="1:7" x14ac:dyDescent="0.25">
      <c r="A343" s="124" t="s">
        <v>4112</v>
      </c>
      <c r="B343" s="64" t="s">
        <v>3435</v>
      </c>
      <c r="C343" s="116" t="s">
        <v>3876</v>
      </c>
      <c r="D343" s="123" t="s">
        <v>4057</v>
      </c>
      <c r="E343" s="125" t="s">
        <v>4113</v>
      </c>
      <c r="F343" s="125" t="s">
        <v>3409</v>
      </c>
      <c r="G343" s="125" t="s">
        <v>3409</v>
      </c>
    </row>
    <row r="344" spans="1:7" x14ac:dyDescent="0.25">
      <c r="A344" s="68" t="s">
        <v>4114</v>
      </c>
      <c r="B344" s="64" t="s">
        <v>3435</v>
      </c>
      <c r="C344" s="116" t="s">
        <v>3876</v>
      </c>
      <c r="D344" s="123" t="s">
        <v>4057</v>
      </c>
      <c r="E344" s="125" t="s">
        <v>4113</v>
      </c>
      <c r="F344" s="69" t="s">
        <v>4115</v>
      </c>
      <c r="G344" s="117" t="s">
        <v>3409</v>
      </c>
    </row>
    <row r="345" spans="1:7" x14ac:dyDescent="0.2">
      <c r="A345" s="68" t="s">
        <v>4116</v>
      </c>
      <c r="B345" s="64" t="s">
        <v>3435</v>
      </c>
      <c r="C345" s="116" t="s">
        <v>3876</v>
      </c>
      <c r="D345" s="123" t="s">
        <v>4057</v>
      </c>
      <c r="E345" s="125" t="s">
        <v>4113</v>
      </c>
      <c r="F345" s="69" t="s">
        <v>4117</v>
      </c>
      <c r="G345" s="118" t="s">
        <v>3409</v>
      </c>
    </row>
    <row r="346" spans="1:7" x14ac:dyDescent="0.25">
      <c r="A346" s="68" t="s">
        <v>4118</v>
      </c>
      <c r="B346" s="64" t="s">
        <v>3435</v>
      </c>
      <c r="C346" s="116" t="s">
        <v>3876</v>
      </c>
      <c r="D346" s="123" t="s">
        <v>4057</v>
      </c>
      <c r="E346" s="125" t="s">
        <v>4113</v>
      </c>
      <c r="F346" s="69" t="s">
        <v>4119</v>
      </c>
      <c r="G346" s="117" t="s">
        <v>3409</v>
      </c>
    </row>
    <row r="347" spans="1:7" x14ac:dyDescent="0.25">
      <c r="A347" s="68" t="s">
        <v>4120</v>
      </c>
      <c r="B347" s="64" t="s">
        <v>3435</v>
      </c>
      <c r="C347" s="116" t="s">
        <v>3876</v>
      </c>
      <c r="D347" s="123" t="s">
        <v>4057</v>
      </c>
      <c r="E347" s="125" t="s">
        <v>4113</v>
      </c>
      <c r="F347" s="69" t="s">
        <v>4121</v>
      </c>
      <c r="G347" s="117" t="s">
        <v>3409</v>
      </c>
    </row>
    <row r="348" spans="1:7" x14ac:dyDescent="0.25">
      <c r="A348" s="122" t="s">
        <v>4122</v>
      </c>
      <c r="B348" s="64" t="s">
        <v>3435</v>
      </c>
      <c r="C348" s="116" t="s">
        <v>3876</v>
      </c>
      <c r="D348" s="123" t="s">
        <v>4123</v>
      </c>
      <c r="E348" s="123" t="s">
        <v>3409</v>
      </c>
      <c r="F348" s="123" t="s">
        <v>3409</v>
      </c>
      <c r="G348" s="123" t="s">
        <v>3409</v>
      </c>
    </row>
    <row r="349" spans="1:7" x14ac:dyDescent="0.25">
      <c r="A349" s="68" t="s">
        <v>4124</v>
      </c>
      <c r="B349" s="64" t="s">
        <v>3435</v>
      </c>
      <c r="C349" s="116" t="s">
        <v>3876</v>
      </c>
      <c r="D349" s="123" t="s">
        <v>4123</v>
      </c>
      <c r="E349" s="68" t="s">
        <v>4125</v>
      </c>
      <c r="F349" s="71" t="s">
        <v>3409</v>
      </c>
      <c r="G349" s="117" t="s">
        <v>3409</v>
      </c>
    </row>
    <row r="350" spans="1:7" x14ac:dyDescent="0.2">
      <c r="A350" s="68" t="s">
        <v>4126</v>
      </c>
      <c r="B350" s="64" t="s">
        <v>3435</v>
      </c>
      <c r="C350" s="116" t="s">
        <v>3876</v>
      </c>
      <c r="D350" s="123" t="s">
        <v>4123</v>
      </c>
      <c r="E350" s="68" t="s">
        <v>4127</v>
      </c>
      <c r="F350" s="70" t="s">
        <v>3409</v>
      </c>
      <c r="G350" s="118" t="s">
        <v>3409</v>
      </c>
    </row>
    <row r="351" spans="1:7" x14ac:dyDescent="0.25">
      <c r="A351" s="68" t="s">
        <v>4128</v>
      </c>
      <c r="B351" s="64" t="s">
        <v>3435</v>
      </c>
      <c r="C351" s="116" t="s">
        <v>3876</v>
      </c>
      <c r="D351" s="123" t="s">
        <v>4123</v>
      </c>
      <c r="E351" s="68" t="s">
        <v>3991</v>
      </c>
      <c r="F351" s="71" t="s">
        <v>3409</v>
      </c>
      <c r="G351" s="117" t="s">
        <v>3409</v>
      </c>
    </row>
    <row r="352" spans="1:7" x14ac:dyDescent="0.2">
      <c r="A352" s="68" t="s">
        <v>4129</v>
      </c>
      <c r="B352" s="64" t="s">
        <v>3435</v>
      </c>
      <c r="C352" s="116" t="s">
        <v>3876</v>
      </c>
      <c r="D352" s="123" t="s">
        <v>4123</v>
      </c>
      <c r="E352" s="68" t="s">
        <v>3423</v>
      </c>
      <c r="F352" s="70" t="s">
        <v>3409</v>
      </c>
      <c r="G352" s="118" t="s">
        <v>3409</v>
      </c>
    </row>
    <row r="353" spans="1:7" x14ac:dyDescent="0.25">
      <c r="A353" s="68" t="s">
        <v>4130</v>
      </c>
      <c r="B353" s="64" t="s">
        <v>3435</v>
      </c>
      <c r="C353" s="116" t="s">
        <v>3876</v>
      </c>
      <c r="D353" s="123" t="s">
        <v>4123</v>
      </c>
      <c r="E353" s="68" t="s">
        <v>4131</v>
      </c>
      <c r="F353" s="71" t="s">
        <v>3409</v>
      </c>
      <c r="G353" s="117" t="s">
        <v>3409</v>
      </c>
    </row>
    <row r="354" spans="1:7" x14ac:dyDescent="0.2">
      <c r="A354" s="68" t="s">
        <v>4132</v>
      </c>
      <c r="B354" s="64" t="s">
        <v>3435</v>
      </c>
      <c r="C354" s="116" t="s">
        <v>3876</v>
      </c>
      <c r="D354" s="123" t="s">
        <v>4123</v>
      </c>
      <c r="E354" s="68" t="s">
        <v>4133</v>
      </c>
      <c r="F354" s="70" t="s">
        <v>3409</v>
      </c>
      <c r="G354" s="118" t="s">
        <v>3409</v>
      </c>
    </row>
    <row r="355" spans="1:7" x14ac:dyDescent="0.25">
      <c r="A355" s="68" t="s">
        <v>4134</v>
      </c>
      <c r="B355" s="64" t="s">
        <v>3435</v>
      </c>
      <c r="C355" s="116" t="s">
        <v>3876</v>
      </c>
      <c r="D355" s="123" t="s">
        <v>4123</v>
      </c>
      <c r="E355" s="68" t="s">
        <v>4135</v>
      </c>
      <c r="F355" s="71" t="s">
        <v>3409</v>
      </c>
      <c r="G355" s="117" t="s">
        <v>3409</v>
      </c>
    </row>
    <row r="356" spans="1:7" x14ac:dyDescent="0.2">
      <c r="A356" s="68" t="s">
        <v>4136</v>
      </c>
      <c r="B356" s="64" t="s">
        <v>3435</v>
      </c>
      <c r="C356" s="116" t="s">
        <v>3876</v>
      </c>
      <c r="D356" s="123" t="s">
        <v>4123</v>
      </c>
      <c r="E356" s="68" t="s">
        <v>4137</v>
      </c>
      <c r="F356" s="70" t="s">
        <v>3409</v>
      </c>
      <c r="G356" s="118" t="s">
        <v>3409</v>
      </c>
    </row>
    <row r="357" spans="1:7" x14ac:dyDescent="0.25">
      <c r="A357" s="68" t="s">
        <v>4138</v>
      </c>
      <c r="B357" s="64" t="s">
        <v>3435</v>
      </c>
      <c r="C357" s="116" t="s">
        <v>3876</v>
      </c>
      <c r="D357" s="123" t="s">
        <v>4123</v>
      </c>
      <c r="E357" s="68" t="s">
        <v>4139</v>
      </c>
      <c r="F357" s="71" t="s">
        <v>3409</v>
      </c>
      <c r="G357" s="117" t="s">
        <v>3409</v>
      </c>
    </row>
    <row r="358" spans="1:7" x14ac:dyDescent="0.2">
      <c r="A358" s="68" t="s">
        <v>4140</v>
      </c>
      <c r="B358" s="64" t="s">
        <v>3435</v>
      </c>
      <c r="C358" s="116" t="s">
        <v>3876</v>
      </c>
      <c r="D358" s="123" t="s">
        <v>4123</v>
      </c>
      <c r="E358" s="68" t="s">
        <v>4141</v>
      </c>
      <c r="F358" s="70" t="s">
        <v>3409</v>
      </c>
      <c r="G358" s="118" t="s">
        <v>3409</v>
      </c>
    </row>
    <row r="359" spans="1:7" x14ac:dyDescent="0.2">
      <c r="A359" s="68" t="s">
        <v>4142</v>
      </c>
      <c r="B359" s="64" t="s">
        <v>3435</v>
      </c>
      <c r="C359" s="116" t="s">
        <v>3876</v>
      </c>
      <c r="D359" s="123" t="s">
        <v>4123</v>
      </c>
      <c r="E359" s="68" t="s">
        <v>4143</v>
      </c>
      <c r="F359" s="70" t="s">
        <v>3409</v>
      </c>
      <c r="G359" s="118" t="s">
        <v>3409</v>
      </c>
    </row>
    <row r="360" spans="1:7" x14ac:dyDescent="0.25">
      <c r="A360" s="68" t="s">
        <v>4144</v>
      </c>
      <c r="B360" s="64" t="s">
        <v>3435</v>
      </c>
      <c r="C360" s="116" t="s">
        <v>3876</v>
      </c>
      <c r="D360" s="123" t="s">
        <v>4123</v>
      </c>
      <c r="E360" s="68" t="s">
        <v>4145</v>
      </c>
      <c r="F360" s="71" t="s">
        <v>3409</v>
      </c>
      <c r="G360" s="117" t="s">
        <v>3409</v>
      </c>
    </row>
    <row r="361" spans="1:7" x14ac:dyDescent="0.25">
      <c r="A361" s="115" t="s">
        <v>4146</v>
      </c>
      <c r="B361" s="64" t="s">
        <v>3435</v>
      </c>
      <c r="C361" s="116" t="s">
        <v>3876</v>
      </c>
      <c r="D361" s="116" t="s">
        <v>3409</v>
      </c>
      <c r="E361" s="116" t="s">
        <v>3409</v>
      </c>
      <c r="F361" s="116" t="s">
        <v>3409</v>
      </c>
      <c r="G361" s="116" t="s">
        <v>3409</v>
      </c>
    </row>
    <row r="362" spans="1:7" x14ac:dyDescent="0.25">
      <c r="A362" s="122" t="s">
        <v>4147</v>
      </c>
      <c r="B362" s="64" t="s">
        <v>3435</v>
      </c>
      <c r="C362" s="116" t="s">
        <v>3876</v>
      </c>
      <c r="D362" s="123" t="s">
        <v>4148</v>
      </c>
      <c r="E362" s="123" t="s">
        <v>3409</v>
      </c>
      <c r="F362" s="123" t="s">
        <v>3409</v>
      </c>
      <c r="G362" s="123" t="s">
        <v>3409</v>
      </c>
    </row>
    <row r="363" spans="1:7" x14ac:dyDescent="0.2">
      <c r="A363" s="68" t="s">
        <v>4149</v>
      </c>
      <c r="B363" s="64" t="s">
        <v>3435</v>
      </c>
      <c r="C363" s="116" t="s">
        <v>3876</v>
      </c>
      <c r="D363" s="123" t="s">
        <v>4148</v>
      </c>
      <c r="E363" s="68" t="s">
        <v>4150</v>
      </c>
      <c r="F363" s="70" t="s">
        <v>3409</v>
      </c>
      <c r="G363" s="118" t="s">
        <v>3409</v>
      </c>
    </row>
    <row r="364" spans="1:7" x14ac:dyDescent="0.2">
      <c r="A364" s="68" t="s">
        <v>4151</v>
      </c>
      <c r="B364" s="64" t="s">
        <v>3435</v>
      </c>
      <c r="C364" s="116" t="s">
        <v>3876</v>
      </c>
      <c r="D364" s="123" t="s">
        <v>4148</v>
      </c>
      <c r="E364" s="68" t="s">
        <v>4152</v>
      </c>
      <c r="F364" s="70" t="s">
        <v>3409</v>
      </c>
      <c r="G364" s="118" t="s">
        <v>3409</v>
      </c>
    </row>
    <row r="365" spans="1:7" x14ac:dyDescent="0.25">
      <c r="A365" s="68" t="s">
        <v>4153</v>
      </c>
      <c r="B365" s="64" t="s">
        <v>3435</v>
      </c>
      <c r="C365" s="116" t="s">
        <v>3876</v>
      </c>
      <c r="D365" s="123" t="s">
        <v>4148</v>
      </c>
      <c r="E365" s="68" t="s">
        <v>4154</v>
      </c>
      <c r="F365" s="71" t="s">
        <v>3409</v>
      </c>
      <c r="G365" s="117" t="s">
        <v>3409</v>
      </c>
    </row>
    <row r="366" spans="1:7" x14ac:dyDescent="0.25">
      <c r="A366" s="68" t="s">
        <v>4155</v>
      </c>
      <c r="B366" s="64" t="s">
        <v>3435</v>
      </c>
      <c r="C366" s="116" t="s">
        <v>3876</v>
      </c>
      <c r="D366" s="123" t="s">
        <v>4148</v>
      </c>
      <c r="E366" s="121" t="s">
        <v>4156</v>
      </c>
      <c r="F366" s="71" t="s">
        <v>3409</v>
      </c>
      <c r="G366" s="117" t="s">
        <v>3409</v>
      </c>
    </row>
    <row r="367" spans="1:7" x14ac:dyDescent="0.2">
      <c r="A367" s="68" t="s">
        <v>4157</v>
      </c>
      <c r="B367" s="64" t="s">
        <v>3435</v>
      </c>
      <c r="C367" s="116" t="s">
        <v>3876</v>
      </c>
      <c r="D367" s="123" t="s">
        <v>4148</v>
      </c>
      <c r="E367" s="68" t="s">
        <v>4158</v>
      </c>
      <c r="F367" s="70" t="s">
        <v>3409</v>
      </c>
      <c r="G367" s="118" t="s">
        <v>3409</v>
      </c>
    </row>
    <row r="368" spans="1:7" x14ac:dyDescent="0.25">
      <c r="A368" s="68" t="s">
        <v>4159</v>
      </c>
      <c r="B368" s="64" t="s">
        <v>3435</v>
      </c>
      <c r="C368" s="116" t="s">
        <v>3876</v>
      </c>
      <c r="D368" s="123" t="s">
        <v>4148</v>
      </c>
      <c r="E368" s="68" t="s">
        <v>4160</v>
      </c>
      <c r="F368" s="71" t="s">
        <v>3409</v>
      </c>
      <c r="G368" s="117" t="s">
        <v>3409</v>
      </c>
    </row>
    <row r="369" spans="1:7" x14ac:dyDescent="0.25">
      <c r="A369" s="68" t="s">
        <v>4161</v>
      </c>
      <c r="B369" s="64" t="s">
        <v>3435</v>
      </c>
      <c r="C369" s="116" t="s">
        <v>3876</v>
      </c>
      <c r="D369" s="123" t="s">
        <v>4148</v>
      </c>
      <c r="E369" s="68" t="s">
        <v>4162</v>
      </c>
      <c r="F369" s="71" t="s">
        <v>3409</v>
      </c>
      <c r="G369" s="117" t="s">
        <v>3409</v>
      </c>
    </row>
    <row r="370" spans="1:7" x14ac:dyDescent="0.2">
      <c r="A370" s="68" t="s">
        <v>4163</v>
      </c>
      <c r="B370" s="64" t="s">
        <v>3435</v>
      </c>
      <c r="C370" s="116" t="s">
        <v>3876</v>
      </c>
      <c r="D370" s="123" t="s">
        <v>4148</v>
      </c>
      <c r="E370" s="68" t="s">
        <v>4164</v>
      </c>
      <c r="F370" s="70" t="s">
        <v>3409</v>
      </c>
      <c r="G370" s="118" t="s">
        <v>3409</v>
      </c>
    </row>
    <row r="371" spans="1:7" x14ac:dyDescent="0.25">
      <c r="A371" s="68" t="s">
        <v>4165</v>
      </c>
      <c r="B371" s="64" t="s">
        <v>3435</v>
      </c>
      <c r="C371" s="116" t="s">
        <v>3876</v>
      </c>
      <c r="D371" s="123" t="s">
        <v>4148</v>
      </c>
      <c r="E371" s="68" t="s">
        <v>4166</v>
      </c>
      <c r="F371" s="71" t="s">
        <v>3409</v>
      </c>
      <c r="G371" s="117" t="s">
        <v>3409</v>
      </c>
    </row>
    <row r="372" spans="1:7" x14ac:dyDescent="0.2">
      <c r="A372" s="68" t="s">
        <v>4167</v>
      </c>
      <c r="B372" s="64" t="s">
        <v>3435</v>
      </c>
      <c r="C372" s="116" t="s">
        <v>3876</v>
      </c>
      <c r="D372" s="123" t="s">
        <v>4148</v>
      </c>
      <c r="E372" s="68" t="s">
        <v>4168</v>
      </c>
      <c r="F372" s="70" t="s">
        <v>3409</v>
      </c>
      <c r="G372" s="118" t="s">
        <v>3409</v>
      </c>
    </row>
    <row r="373" spans="1:7" x14ac:dyDescent="0.25">
      <c r="A373" s="68" t="s">
        <v>4169</v>
      </c>
      <c r="B373" s="64" t="s">
        <v>3435</v>
      </c>
      <c r="C373" s="116" t="s">
        <v>3876</v>
      </c>
      <c r="D373" s="123" t="s">
        <v>4148</v>
      </c>
      <c r="E373" s="68" t="s">
        <v>4170</v>
      </c>
      <c r="F373" s="71" t="s">
        <v>3409</v>
      </c>
      <c r="G373" s="117" t="s">
        <v>3409</v>
      </c>
    </row>
    <row r="374" spans="1:7" x14ac:dyDescent="0.2">
      <c r="A374" s="68" t="s">
        <v>4171</v>
      </c>
      <c r="B374" s="64" t="s">
        <v>3435</v>
      </c>
      <c r="C374" s="116" t="s">
        <v>3876</v>
      </c>
      <c r="D374" s="123" t="s">
        <v>4148</v>
      </c>
      <c r="E374" s="68" t="s">
        <v>4172</v>
      </c>
      <c r="F374" s="70" t="s">
        <v>3409</v>
      </c>
      <c r="G374" s="118" t="s">
        <v>3409</v>
      </c>
    </row>
    <row r="375" spans="1:7" x14ac:dyDescent="0.25">
      <c r="A375" s="68" t="s">
        <v>4173</v>
      </c>
      <c r="B375" s="64" t="s">
        <v>3435</v>
      </c>
      <c r="C375" s="116" t="s">
        <v>3876</v>
      </c>
      <c r="D375" s="123" t="s">
        <v>4148</v>
      </c>
      <c r="E375" s="68" t="s">
        <v>4174</v>
      </c>
      <c r="F375" s="71" t="s">
        <v>3409</v>
      </c>
      <c r="G375" s="117" t="s">
        <v>3409</v>
      </c>
    </row>
    <row r="376" spans="1:7" x14ac:dyDescent="0.25">
      <c r="A376" s="122" t="s">
        <v>4175</v>
      </c>
      <c r="B376" s="64" t="s">
        <v>3435</v>
      </c>
      <c r="C376" s="116" t="s">
        <v>3876</v>
      </c>
      <c r="D376" s="123" t="s">
        <v>4176</v>
      </c>
      <c r="E376" s="123" t="s">
        <v>3409</v>
      </c>
      <c r="F376" s="123" t="s">
        <v>3409</v>
      </c>
      <c r="G376" s="123" t="s">
        <v>3409</v>
      </c>
    </row>
    <row r="377" spans="1:7" x14ac:dyDescent="0.25">
      <c r="A377" s="68" t="s">
        <v>4177</v>
      </c>
      <c r="B377" s="64" t="s">
        <v>3435</v>
      </c>
      <c r="C377" s="116" t="s">
        <v>3876</v>
      </c>
      <c r="D377" s="123" t="s">
        <v>4176</v>
      </c>
      <c r="E377" s="68" t="s">
        <v>4178</v>
      </c>
      <c r="F377" s="71" t="s">
        <v>3409</v>
      </c>
      <c r="G377" s="117" t="s">
        <v>3409</v>
      </c>
    </row>
    <row r="378" spans="1:7" x14ac:dyDescent="0.2">
      <c r="A378" s="68" t="s">
        <v>4179</v>
      </c>
      <c r="B378" s="64" t="s">
        <v>3435</v>
      </c>
      <c r="C378" s="116" t="s">
        <v>3876</v>
      </c>
      <c r="D378" s="123" t="s">
        <v>4176</v>
      </c>
      <c r="E378" s="68" t="s">
        <v>4180</v>
      </c>
      <c r="F378" s="70" t="s">
        <v>3409</v>
      </c>
      <c r="G378" s="118" t="s">
        <v>3409</v>
      </c>
    </row>
    <row r="379" spans="1:7" x14ac:dyDescent="0.25">
      <c r="A379" s="68" t="s">
        <v>4181</v>
      </c>
      <c r="B379" s="64" t="s">
        <v>3435</v>
      </c>
      <c r="C379" s="116" t="s">
        <v>3876</v>
      </c>
      <c r="D379" s="123" t="s">
        <v>4176</v>
      </c>
      <c r="E379" s="68" t="s">
        <v>4182</v>
      </c>
      <c r="F379" s="71" t="s">
        <v>3409</v>
      </c>
      <c r="G379" s="117" t="s">
        <v>3409</v>
      </c>
    </row>
    <row r="380" spans="1:7" x14ac:dyDescent="0.2">
      <c r="A380" s="68" t="s">
        <v>4183</v>
      </c>
      <c r="B380" s="64" t="s">
        <v>3435</v>
      </c>
      <c r="C380" s="116" t="s">
        <v>3876</v>
      </c>
      <c r="D380" s="123" t="s">
        <v>4176</v>
      </c>
      <c r="E380" s="68" t="s">
        <v>4184</v>
      </c>
      <c r="F380" s="70" t="s">
        <v>3409</v>
      </c>
      <c r="G380" s="118" t="s">
        <v>3409</v>
      </c>
    </row>
    <row r="381" spans="1:7" x14ac:dyDescent="0.25">
      <c r="A381" s="68" t="s">
        <v>4185</v>
      </c>
      <c r="B381" s="64" t="s">
        <v>3435</v>
      </c>
      <c r="C381" s="116" t="s">
        <v>3876</v>
      </c>
      <c r="D381" s="123" t="s">
        <v>4176</v>
      </c>
      <c r="E381" s="68" t="s">
        <v>4186</v>
      </c>
      <c r="F381" s="71" t="s">
        <v>3409</v>
      </c>
      <c r="G381" s="117" t="s">
        <v>3409</v>
      </c>
    </row>
    <row r="382" spans="1:7" x14ac:dyDescent="0.2">
      <c r="A382" s="68" t="s">
        <v>4187</v>
      </c>
      <c r="B382" s="64" t="s">
        <v>3435</v>
      </c>
      <c r="C382" s="116" t="s">
        <v>3876</v>
      </c>
      <c r="D382" s="123" t="s">
        <v>4176</v>
      </c>
      <c r="E382" s="68" t="s">
        <v>4188</v>
      </c>
      <c r="F382" s="70" t="s">
        <v>3409</v>
      </c>
      <c r="G382" s="118" t="s">
        <v>3409</v>
      </c>
    </row>
    <row r="383" spans="1:7" x14ac:dyDescent="0.25">
      <c r="A383" s="124" t="s">
        <v>4189</v>
      </c>
      <c r="B383" s="64" t="s">
        <v>3435</v>
      </c>
      <c r="C383" s="116" t="s">
        <v>3876</v>
      </c>
      <c r="D383" s="123" t="s">
        <v>4176</v>
      </c>
      <c r="E383" s="125" t="s">
        <v>4190</v>
      </c>
      <c r="F383" s="125" t="s">
        <v>3409</v>
      </c>
      <c r="G383" s="125" t="s">
        <v>3409</v>
      </c>
    </row>
    <row r="384" spans="1:7" x14ac:dyDescent="0.2">
      <c r="A384" s="68" t="s">
        <v>4191</v>
      </c>
      <c r="B384" s="64" t="s">
        <v>3435</v>
      </c>
      <c r="C384" s="116" t="s">
        <v>3876</v>
      </c>
      <c r="D384" s="123" t="s">
        <v>4176</v>
      </c>
      <c r="E384" s="125" t="s">
        <v>4190</v>
      </c>
      <c r="F384" s="69" t="s">
        <v>4192</v>
      </c>
      <c r="G384" s="118" t="s">
        <v>3409</v>
      </c>
    </row>
    <row r="385" spans="1:7" x14ac:dyDescent="0.25">
      <c r="A385" s="68" t="s">
        <v>4193</v>
      </c>
      <c r="B385" s="64" t="s">
        <v>3435</v>
      </c>
      <c r="C385" s="116" t="s">
        <v>3876</v>
      </c>
      <c r="D385" s="123" t="s">
        <v>4176</v>
      </c>
      <c r="E385" s="125" t="s">
        <v>4190</v>
      </c>
      <c r="F385" s="69" t="s">
        <v>4194</v>
      </c>
      <c r="G385" s="117" t="s">
        <v>3409</v>
      </c>
    </row>
    <row r="386" spans="1:7" x14ac:dyDescent="0.2">
      <c r="A386" s="68" t="s">
        <v>4195</v>
      </c>
      <c r="B386" s="64" t="s">
        <v>3435</v>
      </c>
      <c r="C386" s="116" t="s">
        <v>3876</v>
      </c>
      <c r="D386" s="123" t="s">
        <v>4176</v>
      </c>
      <c r="E386" s="125" t="s">
        <v>4190</v>
      </c>
      <c r="F386" s="69" t="s">
        <v>4196</v>
      </c>
      <c r="G386" s="118" t="s">
        <v>3409</v>
      </c>
    </row>
    <row r="387" spans="1:7" x14ac:dyDescent="0.2">
      <c r="A387" s="68" t="s">
        <v>4197</v>
      </c>
      <c r="B387" s="64" t="s">
        <v>3435</v>
      </c>
      <c r="C387" s="116" t="s">
        <v>3876</v>
      </c>
      <c r="D387" s="123" t="s">
        <v>4176</v>
      </c>
      <c r="E387" s="125" t="s">
        <v>4190</v>
      </c>
      <c r="F387" s="69" t="s">
        <v>4198</v>
      </c>
      <c r="G387" s="118" t="s">
        <v>3409</v>
      </c>
    </row>
    <row r="388" spans="1:7" x14ac:dyDescent="0.25">
      <c r="A388" s="68" t="s">
        <v>4199</v>
      </c>
      <c r="B388" s="64" t="s">
        <v>3435</v>
      </c>
      <c r="C388" s="116" t="s">
        <v>3876</v>
      </c>
      <c r="D388" s="123" t="s">
        <v>4176</v>
      </c>
      <c r="E388" s="125" t="s">
        <v>4190</v>
      </c>
      <c r="F388" s="69" t="s">
        <v>4200</v>
      </c>
      <c r="G388" s="117" t="s">
        <v>3409</v>
      </c>
    </row>
    <row r="389" spans="1:7" x14ac:dyDescent="0.2">
      <c r="A389" s="68" t="s">
        <v>4201</v>
      </c>
      <c r="B389" s="64" t="s">
        <v>3435</v>
      </c>
      <c r="C389" s="116" t="s">
        <v>3876</v>
      </c>
      <c r="D389" s="123" t="s">
        <v>4176</v>
      </c>
      <c r="E389" s="125" t="s">
        <v>4190</v>
      </c>
      <c r="F389" s="69" t="s">
        <v>4202</v>
      </c>
      <c r="G389" s="118" t="s">
        <v>3409</v>
      </c>
    </row>
    <row r="390" spans="1:7" x14ac:dyDescent="0.25">
      <c r="A390" s="68" t="s">
        <v>4203</v>
      </c>
      <c r="B390" s="64" t="s">
        <v>3435</v>
      </c>
      <c r="C390" s="116" t="s">
        <v>3876</v>
      </c>
      <c r="D390" s="123" t="s">
        <v>4176</v>
      </c>
      <c r="E390" s="68" t="s">
        <v>4204</v>
      </c>
      <c r="F390" s="71" t="s">
        <v>3409</v>
      </c>
      <c r="G390" s="117" t="s">
        <v>3409</v>
      </c>
    </row>
    <row r="391" spans="1:7" x14ac:dyDescent="0.2">
      <c r="A391" s="68" t="s">
        <v>4205</v>
      </c>
      <c r="B391" s="64" t="s">
        <v>3435</v>
      </c>
      <c r="C391" s="116" t="s">
        <v>3876</v>
      </c>
      <c r="D391" s="123" t="s">
        <v>4176</v>
      </c>
      <c r="E391" s="68" t="s">
        <v>4206</v>
      </c>
      <c r="F391" s="70" t="s">
        <v>3409</v>
      </c>
      <c r="G391" s="118" t="s">
        <v>3409</v>
      </c>
    </row>
    <row r="392" spans="1:7" x14ac:dyDescent="0.25">
      <c r="A392" s="68" t="s">
        <v>4207</v>
      </c>
      <c r="B392" s="64" t="s">
        <v>3435</v>
      </c>
      <c r="C392" s="116" t="s">
        <v>3876</v>
      </c>
      <c r="D392" s="123" t="s">
        <v>4176</v>
      </c>
      <c r="E392" s="68" t="s">
        <v>4208</v>
      </c>
      <c r="F392" s="71" t="s">
        <v>3409</v>
      </c>
      <c r="G392" s="117" t="s">
        <v>3409</v>
      </c>
    </row>
    <row r="393" spans="1:7" x14ac:dyDescent="0.2">
      <c r="A393" s="68" t="s">
        <v>4209</v>
      </c>
      <c r="B393" s="64" t="s">
        <v>3435</v>
      </c>
      <c r="C393" s="116" t="s">
        <v>3876</v>
      </c>
      <c r="D393" s="123" t="s">
        <v>4176</v>
      </c>
      <c r="E393" s="68" t="s">
        <v>4210</v>
      </c>
      <c r="F393" s="70" t="s">
        <v>3409</v>
      </c>
      <c r="G393" s="118" t="s">
        <v>3409</v>
      </c>
    </row>
    <row r="394" spans="1:7" x14ac:dyDescent="0.25">
      <c r="A394" s="68" t="s">
        <v>4211</v>
      </c>
      <c r="B394" s="64" t="s">
        <v>3435</v>
      </c>
      <c r="C394" s="116" t="s">
        <v>3876</v>
      </c>
      <c r="D394" s="123" t="s">
        <v>4176</v>
      </c>
      <c r="E394" s="68" t="s">
        <v>4212</v>
      </c>
      <c r="F394" s="71" t="s">
        <v>3409</v>
      </c>
      <c r="G394" s="117" t="s">
        <v>3409</v>
      </c>
    </row>
    <row r="395" spans="1:7" x14ac:dyDescent="0.2">
      <c r="A395" s="68" t="s">
        <v>4213</v>
      </c>
      <c r="B395" s="64" t="s">
        <v>3435</v>
      </c>
      <c r="C395" s="116" t="s">
        <v>3876</v>
      </c>
      <c r="D395" s="123" t="s">
        <v>4176</v>
      </c>
      <c r="E395" s="68" t="s">
        <v>4214</v>
      </c>
      <c r="F395" s="70" t="s">
        <v>3409</v>
      </c>
      <c r="G395" s="118" t="s">
        <v>3409</v>
      </c>
    </row>
    <row r="396" spans="1:7" x14ac:dyDescent="0.25">
      <c r="A396" s="68" t="s">
        <v>4215</v>
      </c>
      <c r="B396" s="64" t="s">
        <v>3435</v>
      </c>
      <c r="C396" s="116" t="s">
        <v>3876</v>
      </c>
      <c r="D396" s="123" t="s">
        <v>4176</v>
      </c>
      <c r="E396" s="68" t="s">
        <v>4216</v>
      </c>
      <c r="F396" s="71" t="s">
        <v>3409</v>
      </c>
      <c r="G396" s="117" t="s">
        <v>3409</v>
      </c>
    </row>
    <row r="397" spans="1:7" x14ac:dyDescent="0.25">
      <c r="A397" s="68" t="s">
        <v>4217</v>
      </c>
      <c r="B397" s="64" t="s">
        <v>3435</v>
      </c>
      <c r="C397" s="116" t="s">
        <v>3876</v>
      </c>
      <c r="D397" s="123" t="s">
        <v>4176</v>
      </c>
      <c r="E397" s="68" t="s">
        <v>4218</v>
      </c>
      <c r="F397" s="71" t="s">
        <v>3409</v>
      </c>
      <c r="G397" s="117" t="s">
        <v>3409</v>
      </c>
    </row>
    <row r="398" spans="1:7" x14ac:dyDescent="0.25">
      <c r="A398" s="124" t="s">
        <v>4219</v>
      </c>
      <c r="B398" s="64" t="s">
        <v>3435</v>
      </c>
      <c r="C398" s="116" t="s">
        <v>3876</v>
      </c>
      <c r="D398" s="123" t="s">
        <v>4176</v>
      </c>
      <c r="E398" s="125" t="s">
        <v>4220</v>
      </c>
      <c r="F398" s="125" t="s">
        <v>3409</v>
      </c>
      <c r="G398" s="125" t="s">
        <v>3409</v>
      </c>
    </row>
    <row r="399" spans="1:7" x14ac:dyDescent="0.2">
      <c r="A399" s="68" t="s">
        <v>4221</v>
      </c>
      <c r="B399" s="64" t="s">
        <v>3435</v>
      </c>
      <c r="C399" s="116" t="s">
        <v>3876</v>
      </c>
      <c r="D399" s="123" t="s">
        <v>4176</v>
      </c>
      <c r="E399" s="125" t="s">
        <v>4220</v>
      </c>
      <c r="F399" s="69" t="s">
        <v>4222</v>
      </c>
      <c r="G399" s="118" t="s">
        <v>3409</v>
      </c>
    </row>
    <row r="400" spans="1:7" x14ac:dyDescent="0.25">
      <c r="A400" s="68" t="s">
        <v>4223</v>
      </c>
      <c r="B400" s="64" t="s">
        <v>3435</v>
      </c>
      <c r="C400" s="116" t="s">
        <v>3876</v>
      </c>
      <c r="D400" s="123" t="s">
        <v>4176</v>
      </c>
      <c r="E400" s="125" t="s">
        <v>4220</v>
      </c>
      <c r="F400" s="69" t="s">
        <v>4224</v>
      </c>
      <c r="G400" s="117" t="s">
        <v>3409</v>
      </c>
    </row>
    <row r="401" spans="1:7" x14ac:dyDescent="0.25">
      <c r="A401" s="68" t="s">
        <v>4225</v>
      </c>
      <c r="B401" s="64" t="s">
        <v>3435</v>
      </c>
      <c r="C401" s="116" t="s">
        <v>3876</v>
      </c>
      <c r="D401" s="123" t="s">
        <v>4176</v>
      </c>
      <c r="E401" s="125" t="s">
        <v>4220</v>
      </c>
      <c r="F401" s="73" t="s">
        <v>4226</v>
      </c>
      <c r="G401" s="117" t="s">
        <v>3409</v>
      </c>
    </row>
    <row r="402" spans="1:7" x14ac:dyDescent="0.2">
      <c r="A402" s="68" t="s">
        <v>4227</v>
      </c>
      <c r="B402" s="64" t="s">
        <v>3435</v>
      </c>
      <c r="C402" s="116" t="s">
        <v>3876</v>
      </c>
      <c r="D402" s="123" t="s">
        <v>4176</v>
      </c>
      <c r="E402" s="125" t="s">
        <v>4220</v>
      </c>
      <c r="F402" s="69" t="s">
        <v>4228</v>
      </c>
      <c r="G402" s="118" t="s">
        <v>3409</v>
      </c>
    </row>
    <row r="403" spans="1:7" x14ac:dyDescent="0.25">
      <c r="A403" s="68" t="s">
        <v>4229</v>
      </c>
      <c r="B403" s="64" t="s">
        <v>3435</v>
      </c>
      <c r="C403" s="116" t="s">
        <v>3876</v>
      </c>
      <c r="D403" s="123" t="s">
        <v>4176</v>
      </c>
      <c r="E403" s="125" t="s">
        <v>4220</v>
      </c>
      <c r="F403" s="69" t="s">
        <v>4230</v>
      </c>
      <c r="G403" s="117" t="s">
        <v>3409</v>
      </c>
    </row>
    <row r="404" spans="1:7" x14ac:dyDescent="0.25">
      <c r="A404" s="68" t="s">
        <v>4231</v>
      </c>
      <c r="B404" s="64" t="s">
        <v>3435</v>
      </c>
      <c r="C404" s="116" t="s">
        <v>3876</v>
      </c>
      <c r="D404" s="123" t="s">
        <v>4176</v>
      </c>
      <c r="E404" s="125" t="s">
        <v>4220</v>
      </c>
      <c r="F404" s="69" t="s">
        <v>4232</v>
      </c>
      <c r="G404" s="117" t="s">
        <v>3409</v>
      </c>
    </row>
    <row r="405" spans="1:7" x14ac:dyDescent="0.25">
      <c r="A405" s="68" t="s">
        <v>4233</v>
      </c>
      <c r="B405" s="64" t="s">
        <v>3435</v>
      </c>
      <c r="C405" s="116" t="s">
        <v>3876</v>
      </c>
      <c r="D405" s="123" t="s">
        <v>4176</v>
      </c>
      <c r="E405" s="125" t="s">
        <v>4220</v>
      </c>
      <c r="F405" s="73" t="s">
        <v>4234</v>
      </c>
      <c r="G405" s="117" t="s">
        <v>3409</v>
      </c>
    </row>
    <row r="406" spans="1:7" x14ac:dyDescent="0.25">
      <c r="A406" s="68" t="s">
        <v>4235</v>
      </c>
      <c r="B406" s="64" t="s">
        <v>3435</v>
      </c>
      <c r="C406" s="116" t="s">
        <v>3876</v>
      </c>
      <c r="D406" s="123" t="s">
        <v>4176</v>
      </c>
      <c r="E406" s="125" t="s">
        <v>4220</v>
      </c>
      <c r="F406" s="73" t="s">
        <v>4236</v>
      </c>
      <c r="G406" s="117" t="s">
        <v>3409</v>
      </c>
    </row>
    <row r="407" spans="1:7" x14ac:dyDescent="0.25">
      <c r="A407" s="68" t="s">
        <v>4237</v>
      </c>
      <c r="B407" s="64" t="s">
        <v>3435</v>
      </c>
      <c r="C407" s="116" t="s">
        <v>3876</v>
      </c>
      <c r="D407" s="123" t="s">
        <v>4176</v>
      </c>
      <c r="E407" s="68" t="s">
        <v>4238</v>
      </c>
      <c r="F407" s="71" t="s">
        <v>3409</v>
      </c>
      <c r="G407" s="117" t="s">
        <v>3409</v>
      </c>
    </row>
    <row r="408" spans="1:7" x14ac:dyDescent="0.2">
      <c r="A408" s="68" t="s">
        <v>4239</v>
      </c>
      <c r="B408" s="64" t="s">
        <v>3435</v>
      </c>
      <c r="C408" s="116" t="s">
        <v>3876</v>
      </c>
      <c r="D408" s="123" t="s">
        <v>4176</v>
      </c>
      <c r="E408" s="68" t="s">
        <v>4240</v>
      </c>
      <c r="F408" s="70" t="s">
        <v>3409</v>
      </c>
      <c r="G408" s="118" t="s">
        <v>3409</v>
      </c>
    </row>
    <row r="409" spans="1:7" x14ac:dyDescent="0.25">
      <c r="A409" s="68" t="s">
        <v>4241</v>
      </c>
      <c r="B409" s="64" t="s">
        <v>3435</v>
      </c>
      <c r="C409" s="116" t="s">
        <v>3876</v>
      </c>
      <c r="D409" s="123" t="s">
        <v>4176</v>
      </c>
      <c r="E409" s="68" t="s">
        <v>4242</v>
      </c>
      <c r="F409" s="71" t="s">
        <v>3409</v>
      </c>
      <c r="G409" s="117" t="s">
        <v>3409</v>
      </c>
    </row>
    <row r="410" spans="1:7" x14ac:dyDescent="0.2">
      <c r="A410" s="68" t="s">
        <v>4243</v>
      </c>
      <c r="B410" s="64" t="s">
        <v>3435</v>
      </c>
      <c r="C410" s="116" t="s">
        <v>3876</v>
      </c>
      <c r="D410" s="123" t="s">
        <v>4176</v>
      </c>
      <c r="E410" s="68" t="s">
        <v>4244</v>
      </c>
      <c r="F410" s="70" t="s">
        <v>3409</v>
      </c>
      <c r="G410" s="118" t="s">
        <v>3409</v>
      </c>
    </row>
    <row r="411" spans="1:7" x14ac:dyDescent="0.25">
      <c r="A411" s="68" t="s">
        <v>4245</v>
      </c>
      <c r="B411" s="64" t="s">
        <v>3435</v>
      </c>
      <c r="C411" s="116" t="s">
        <v>3876</v>
      </c>
      <c r="D411" s="123" t="s">
        <v>4176</v>
      </c>
      <c r="E411" s="68" t="s">
        <v>4246</v>
      </c>
      <c r="F411" s="71" t="s">
        <v>3409</v>
      </c>
      <c r="G411" s="117" t="s">
        <v>3409</v>
      </c>
    </row>
    <row r="412" spans="1:7" x14ac:dyDescent="0.2">
      <c r="A412" s="68" t="s">
        <v>4247</v>
      </c>
      <c r="B412" s="64" t="s">
        <v>3435</v>
      </c>
      <c r="C412" s="116" t="s">
        <v>3876</v>
      </c>
      <c r="D412" s="123" t="s">
        <v>4176</v>
      </c>
      <c r="E412" s="68" t="s">
        <v>4248</v>
      </c>
      <c r="F412" s="70" t="s">
        <v>3409</v>
      </c>
      <c r="G412" s="118" t="s">
        <v>3409</v>
      </c>
    </row>
    <row r="413" spans="1:7" x14ac:dyDescent="0.25">
      <c r="A413" s="68" t="s">
        <v>4249</v>
      </c>
      <c r="B413" s="64" t="s">
        <v>3435</v>
      </c>
      <c r="C413" s="116" t="s">
        <v>3876</v>
      </c>
      <c r="D413" s="123" t="s">
        <v>4176</v>
      </c>
      <c r="E413" s="68" t="s">
        <v>4250</v>
      </c>
      <c r="F413" s="71" t="s">
        <v>3409</v>
      </c>
      <c r="G413" s="117" t="s">
        <v>3409</v>
      </c>
    </row>
    <row r="414" spans="1:7" x14ac:dyDescent="0.2">
      <c r="A414" s="68" t="s">
        <v>4251</v>
      </c>
      <c r="B414" s="64" t="s">
        <v>3435</v>
      </c>
      <c r="C414" s="116" t="s">
        <v>3876</v>
      </c>
      <c r="D414" s="123" t="s">
        <v>4176</v>
      </c>
      <c r="E414" s="68" t="s">
        <v>4252</v>
      </c>
      <c r="F414" s="70" t="s">
        <v>3409</v>
      </c>
      <c r="G414" s="118" t="s">
        <v>3409</v>
      </c>
    </row>
    <row r="415" spans="1:7" x14ac:dyDescent="0.25">
      <c r="A415" s="68" t="s">
        <v>4253</v>
      </c>
      <c r="B415" s="64" t="s">
        <v>3435</v>
      </c>
      <c r="C415" s="116" t="s">
        <v>3876</v>
      </c>
      <c r="D415" s="123" t="s">
        <v>4176</v>
      </c>
      <c r="E415" s="68" t="s">
        <v>4254</v>
      </c>
      <c r="F415" s="71" t="s">
        <v>3409</v>
      </c>
      <c r="G415" s="117" t="s">
        <v>3409</v>
      </c>
    </row>
    <row r="416" spans="1:7" x14ac:dyDescent="0.2">
      <c r="A416" s="68" t="s">
        <v>4255</v>
      </c>
      <c r="B416" s="64" t="s">
        <v>3435</v>
      </c>
      <c r="C416" s="116" t="s">
        <v>3876</v>
      </c>
      <c r="D416" s="123" t="s">
        <v>4176</v>
      </c>
      <c r="E416" s="68" t="s">
        <v>4256</v>
      </c>
      <c r="F416" s="70" t="s">
        <v>3409</v>
      </c>
      <c r="G416" s="118" t="s">
        <v>3409</v>
      </c>
    </row>
    <row r="417" spans="1:7" x14ac:dyDescent="0.25">
      <c r="A417" s="68" t="s">
        <v>4257</v>
      </c>
      <c r="B417" s="64" t="s">
        <v>3435</v>
      </c>
      <c r="C417" s="116" t="s">
        <v>3876</v>
      </c>
      <c r="D417" s="123" t="s">
        <v>4176</v>
      </c>
      <c r="E417" s="68" t="s">
        <v>4258</v>
      </c>
      <c r="F417" s="71" t="s">
        <v>3409</v>
      </c>
      <c r="G417" s="117" t="s">
        <v>3409</v>
      </c>
    </row>
    <row r="418" spans="1:7" x14ac:dyDescent="0.2">
      <c r="A418" s="68" t="s">
        <v>4259</v>
      </c>
      <c r="B418" s="64" t="s">
        <v>3435</v>
      </c>
      <c r="C418" s="116" t="s">
        <v>3876</v>
      </c>
      <c r="D418" s="123" t="s">
        <v>4176</v>
      </c>
      <c r="E418" s="68" t="s">
        <v>4260</v>
      </c>
      <c r="F418" s="70" t="s">
        <v>3409</v>
      </c>
      <c r="G418" s="118" t="s">
        <v>3409</v>
      </c>
    </row>
    <row r="419" spans="1:7" x14ac:dyDescent="0.25">
      <c r="A419" s="68" t="s">
        <v>4261</v>
      </c>
      <c r="B419" s="64" t="s">
        <v>3435</v>
      </c>
      <c r="C419" s="116" t="s">
        <v>3876</v>
      </c>
      <c r="D419" s="123" t="s">
        <v>4176</v>
      </c>
      <c r="E419" s="68" t="s">
        <v>4262</v>
      </c>
      <c r="F419" s="71" t="s">
        <v>3409</v>
      </c>
      <c r="G419" s="117" t="s">
        <v>3409</v>
      </c>
    </row>
    <row r="420" spans="1:7" x14ac:dyDescent="0.25">
      <c r="A420" s="68" t="s">
        <v>4263</v>
      </c>
      <c r="B420" s="64" t="s">
        <v>3435</v>
      </c>
      <c r="C420" s="116" t="s">
        <v>3876</v>
      </c>
      <c r="D420" s="123" t="s">
        <v>4176</v>
      </c>
      <c r="E420" s="68" t="s">
        <v>4264</v>
      </c>
      <c r="F420" s="71" t="s">
        <v>3409</v>
      </c>
      <c r="G420" s="117" t="s">
        <v>3409</v>
      </c>
    </row>
    <row r="421" spans="1:7" x14ac:dyDescent="0.25">
      <c r="A421" s="68" t="s">
        <v>4265</v>
      </c>
      <c r="B421" s="64" t="s">
        <v>3435</v>
      </c>
      <c r="C421" s="116" t="s">
        <v>3876</v>
      </c>
      <c r="D421" s="123" t="s">
        <v>4176</v>
      </c>
      <c r="E421" s="121" t="s">
        <v>4266</v>
      </c>
      <c r="F421" s="71" t="s">
        <v>3409</v>
      </c>
      <c r="G421" s="117" t="s">
        <v>3409</v>
      </c>
    </row>
    <row r="422" spans="1:7" x14ac:dyDescent="0.25">
      <c r="A422" s="68" t="s">
        <v>4267</v>
      </c>
      <c r="B422" s="64" t="s">
        <v>3435</v>
      </c>
      <c r="C422" s="116" t="s">
        <v>3876</v>
      </c>
      <c r="D422" s="123" t="s">
        <v>4176</v>
      </c>
      <c r="E422" s="121" t="s">
        <v>4268</v>
      </c>
      <c r="F422" s="71" t="s">
        <v>3409</v>
      </c>
      <c r="G422" s="117" t="s">
        <v>3409</v>
      </c>
    </row>
    <row r="423" spans="1:7" x14ac:dyDescent="0.25">
      <c r="A423" s="68" t="s">
        <v>4269</v>
      </c>
      <c r="B423" s="64" t="s">
        <v>3435</v>
      </c>
      <c r="C423" s="116" t="s">
        <v>3876</v>
      </c>
      <c r="D423" s="123" t="s">
        <v>4176</v>
      </c>
      <c r="E423" s="68" t="s">
        <v>4270</v>
      </c>
      <c r="F423" s="71" t="s">
        <v>3409</v>
      </c>
      <c r="G423" s="117" t="s">
        <v>3409</v>
      </c>
    </row>
    <row r="424" spans="1:7" x14ac:dyDescent="0.2">
      <c r="A424" s="68" t="s">
        <v>4271</v>
      </c>
      <c r="B424" s="64" t="s">
        <v>3435</v>
      </c>
      <c r="C424" s="116" t="s">
        <v>3876</v>
      </c>
      <c r="D424" s="68" t="s">
        <v>4272</v>
      </c>
      <c r="E424" s="118" t="s">
        <v>3409</v>
      </c>
      <c r="F424" s="70" t="s">
        <v>3409</v>
      </c>
      <c r="G424" s="118" t="s">
        <v>3409</v>
      </c>
    </row>
    <row r="425" spans="1:7" x14ac:dyDescent="0.25">
      <c r="A425" s="115" t="s">
        <v>4273</v>
      </c>
      <c r="B425" s="64" t="s">
        <v>3435</v>
      </c>
      <c r="C425" s="116" t="s">
        <v>4274</v>
      </c>
      <c r="D425" s="116" t="s">
        <v>3409</v>
      </c>
      <c r="E425" s="116" t="s">
        <v>3409</v>
      </c>
      <c r="F425" s="116" t="s">
        <v>3409</v>
      </c>
      <c r="G425" s="116" t="s">
        <v>3409</v>
      </c>
    </row>
    <row r="426" spans="1:7" x14ac:dyDescent="0.2">
      <c r="A426" s="68" t="s">
        <v>4275</v>
      </c>
      <c r="B426" s="64" t="s">
        <v>3435</v>
      </c>
      <c r="C426" s="116" t="s">
        <v>4274</v>
      </c>
      <c r="D426" s="68" t="s">
        <v>4276</v>
      </c>
      <c r="E426" s="118" t="s">
        <v>3409</v>
      </c>
      <c r="F426" s="70" t="s">
        <v>3409</v>
      </c>
      <c r="G426" s="118" t="s">
        <v>3409</v>
      </c>
    </row>
    <row r="427" spans="1:7" x14ac:dyDescent="0.25">
      <c r="A427" s="122" t="s">
        <v>4277</v>
      </c>
      <c r="B427" s="64" t="s">
        <v>3435</v>
      </c>
      <c r="C427" s="116" t="s">
        <v>4274</v>
      </c>
      <c r="D427" s="123" t="s">
        <v>4278</v>
      </c>
      <c r="E427" s="123" t="s">
        <v>3409</v>
      </c>
      <c r="F427" s="123" t="s">
        <v>3409</v>
      </c>
      <c r="G427" s="123" t="s">
        <v>3409</v>
      </c>
    </row>
    <row r="428" spans="1:7" x14ac:dyDescent="0.2">
      <c r="A428" s="68" t="s">
        <v>4279</v>
      </c>
      <c r="B428" s="64" t="s">
        <v>3435</v>
      </c>
      <c r="C428" s="116" t="s">
        <v>4274</v>
      </c>
      <c r="D428" s="123" t="s">
        <v>4278</v>
      </c>
      <c r="E428" s="68" t="s">
        <v>4280</v>
      </c>
      <c r="F428" s="70" t="s">
        <v>3409</v>
      </c>
      <c r="G428" s="118" t="s">
        <v>3409</v>
      </c>
    </row>
    <row r="429" spans="1:7" x14ac:dyDescent="0.25">
      <c r="A429" s="68" t="s">
        <v>4281</v>
      </c>
      <c r="B429" s="64" t="s">
        <v>3435</v>
      </c>
      <c r="C429" s="116" t="s">
        <v>4274</v>
      </c>
      <c r="D429" s="123" t="s">
        <v>4278</v>
      </c>
      <c r="E429" s="68" t="s">
        <v>4282</v>
      </c>
      <c r="F429" s="71" t="s">
        <v>3409</v>
      </c>
      <c r="G429" s="117" t="s">
        <v>3409</v>
      </c>
    </row>
    <row r="430" spans="1:7" x14ac:dyDescent="0.2">
      <c r="A430" s="68" t="s">
        <v>4283</v>
      </c>
      <c r="B430" s="64" t="s">
        <v>3435</v>
      </c>
      <c r="C430" s="116" t="s">
        <v>4274</v>
      </c>
      <c r="D430" s="123" t="s">
        <v>4278</v>
      </c>
      <c r="E430" s="68" t="s">
        <v>4284</v>
      </c>
      <c r="F430" s="70" t="s">
        <v>3409</v>
      </c>
      <c r="G430" s="118" t="s">
        <v>3409</v>
      </c>
    </row>
    <row r="431" spans="1:7" x14ac:dyDescent="0.25">
      <c r="A431" s="68" t="s">
        <v>4285</v>
      </c>
      <c r="B431" s="64" t="s">
        <v>3435</v>
      </c>
      <c r="C431" s="116" t="s">
        <v>4274</v>
      </c>
      <c r="D431" s="123" t="s">
        <v>4278</v>
      </c>
      <c r="E431" s="68" t="s">
        <v>4286</v>
      </c>
      <c r="F431" s="71" t="s">
        <v>3409</v>
      </c>
      <c r="G431" s="117" t="s">
        <v>3409</v>
      </c>
    </row>
    <row r="432" spans="1:7" x14ac:dyDescent="0.2">
      <c r="A432" s="68" t="s">
        <v>4287</v>
      </c>
      <c r="B432" s="64" t="s">
        <v>3435</v>
      </c>
      <c r="C432" s="116" t="s">
        <v>4274</v>
      </c>
      <c r="D432" s="123" t="s">
        <v>4278</v>
      </c>
      <c r="E432" s="68" t="s">
        <v>4288</v>
      </c>
      <c r="F432" s="70" t="s">
        <v>3409</v>
      </c>
      <c r="G432" s="118" t="s">
        <v>3409</v>
      </c>
    </row>
    <row r="433" spans="1:7" x14ac:dyDescent="0.25">
      <c r="A433" s="68" t="s">
        <v>4289</v>
      </c>
      <c r="B433" s="64" t="s">
        <v>3435</v>
      </c>
      <c r="C433" s="116" t="s">
        <v>4274</v>
      </c>
      <c r="D433" s="123" t="s">
        <v>4278</v>
      </c>
      <c r="E433" s="68" t="s">
        <v>4290</v>
      </c>
      <c r="F433" s="71" t="s">
        <v>3409</v>
      </c>
      <c r="G433" s="117" t="s">
        <v>3409</v>
      </c>
    </row>
    <row r="434" spans="1:7" x14ac:dyDescent="0.2">
      <c r="A434" s="68" t="s">
        <v>4291</v>
      </c>
      <c r="B434" s="64" t="s">
        <v>3435</v>
      </c>
      <c r="C434" s="116" t="s">
        <v>4274</v>
      </c>
      <c r="D434" s="123" t="s">
        <v>4278</v>
      </c>
      <c r="E434" s="68" t="s">
        <v>4292</v>
      </c>
      <c r="F434" s="70" t="s">
        <v>3409</v>
      </c>
      <c r="G434" s="118" t="s">
        <v>3409</v>
      </c>
    </row>
    <row r="435" spans="1:7" x14ac:dyDescent="0.25">
      <c r="A435" s="68" t="s">
        <v>4293</v>
      </c>
      <c r="B435" s="64" t="s">
        <v>3435</v>
      </c>
      <c r="C435" s="116" t="s">
        <v>4274</v>
      </c>
      <c r="D435" s="123" t="s">
        <v>4278</v>
      </c>
      <c r="E435" s="117" t="s">
        <v>3409</v>
      </c>
      <c r="F435" s="71" t="s">
        <v>3409</v>
      </c>
      <c r="G435" s="117" t="s">
        <v>3409</v>
      </c>
    </row>
    <row r="436" spans="1:7" x14ac:dyDescent="0.25">
      <c r="A436" s="122" t="s">
        <v>4294</v>
      </c>
      <c r="B436" s="64" t="s">
        <v>3435</v>
      </c>
      <c r="C436" s="116" t="s">
        <v>4274</v>
      </c>
      <c r="D436" s="123" t="s">
        <v>4295</v>
      </c>
      <c r="E436" s="123" t="s">
        <v>3409</v>
      </c>
      <c r="F436" s="123" t="s">
        <v>3409</v>
      </c>
      <c r="G436" s="123" t="s">
        <v>3409</v>
      </c>
    </row>
    <row r="437" spans="1:7" x14ac:dyDescent="0.25">
      <c r="A437" s="68" t="s">
        <v>4296</v>
      </c>
      <c r="B437" s="64" t="s">
        <v>3435</v>
      </c>
      <c r="C437" s="116" t="s">
        <v>4274</v>
      </c>
      <c r="D437" s="123" t="s">
        <v>4295</v>
      </c>
      <c r="E437" s="68" t="s">
        <v>4297</v>
      </c>
      <c r="F437" s="71" t="s">
        <v>3409</v>
      </c>
      <c r="G437" s="117" t="s">
        <v>3409</v>
      </c>
    </row>
    <row r="438" spans="1:7" x14ac:dyDescent="0.2">
      <c r="A438" s="68" t="s">
        <v>4298</v>
      </c>
      <c r="B438" s="64" t="s">
        <v>3435</v>
      </c>
      <c r="C438" s="116" t="s">
        <v>4274</v>
      </c>
      <c r="D438" s="123" t="s">
        <v>4295</v>
      </c>
      <c r="E438" s="68" t="s">
        <v>4299</v>
      </c>
      <c r="F438" s="70" t="s">
        <v>3409</v>
      </c>
      <c r="G438" s="118" t="s">
        <v>3409</v>
      </c>
    </row>
    <row r="439" spans="1:7" x14ac:dyDescent="0.25">
      <c r="A439" s="68" t="s">
        <v>4300</v>
      </c>
      <c r="B439" s="64" t="s">
        <v>3435</v>
      </c>
      <c r="C439" s="116" t="s">
        <v>4274</v>
      </c>
      <c r="D439" s="123" t="s">
        <v>4295</v>
      </c>
      <c r="E439" s="68" t="s">
        <v>4301</v>
      </c>
      <c r="F439" s="71" t="s">
        <v>3409</v>
      </c>
      <c r="G439" s="117" t="s">
        <v>3409</v>
      </c>
    </row>
    <row r="440" spans="1:7" x14ac:dyDescent="0.25">
      <c r="A440" s="122" t="s">
        <v>4302</v>
      </c>
      <c r="B440" s="64" t="s">
        <v>3435</v>
      </c>
      <c r="C440" s="116" t="s">
        <v>4274</v>
      </c>
      <c r="D440" s="123" t="s">
        <v>4303</v>
      </c>
      <c r="E440" s="123" t="s">
        <v>3409</v>
      </c>
      <c r="F440" s="123" t="s">
        <v>3409</v>
      </c>
      <c r="G440" s="123" t="s">
        <v>3409</v>
      </c>
    </row>
    <row r="441" spans="1:7" x14ac:dyDescent="0.25">
      <c r="A441" s="68" t="s">
        <v>4304</v>
      </c>
      <c r="B441" s="64" t="s">
        <v>3435</v>
      </c>
      <c r="C441" s="116" t="s">
        <v>4274</v>
      </c>
      <c r="D441" s="123" t="s">
        <v>4303</v>
      </c>
      <c r="E441" s="68" t="s">
        <v>4305</v>
      </c>
      <c r="F441" s="71" t="s">
        <v>3409</v>
      </c>
      <c r="G441" s="117" t="s">
        <v>3409</v>
      </c>
    </row>
    <row r="442" spans="1:7" x14ac:dyDescent="0.2">
      <c r="A442" s="68" t="s">
        <v>4306</v>
      </c>
      <c r="B442" s="64" t="s">
        <v>3435</v>
      </c>
      <c r="C442" s="116" t="s">
        <v>4274</v>
      </c>
      <c r="D442" s="123" t="s">
        <v>4303</v>
      </c>
      <c r="E442" s="68" t="s">
        <v>4307</v>
      </c>
      <c r="F442" s="70" t="s">
        <v>3409</v>
      </c>
      <c r="G442" s="118" t="s">
        <v>3409</v>
      </c>
    </row>
    <row r="443" spans="1:7" x14ac:dyDescent="0.25">
      <c r="A443" s="68" t="s">
        <v>4308</v>
      </c>
      <c r="B443" s="64" t="s">
        <v>3435</v>
      </c>
      <c r="C443" s="116" t="s">
        <v>4274</v>
      </c>
      <c r="D443" s="123" t="s">
        <v>4303</v>
      </c>
      <c r="E443" s="68" t="s">
        <v>4309</v>
      </c>
      <c r="F443" s="71" t="s">
        <v>3409</v>
      </c>
      <c r="G443" s="117" t="s">
        <v>3409</v>
      </c>
    </row>
    <row r="444" spans="1:7" x14ac:dyDescent="0.2">
      <c r="A444" s="68" t="s">
        <v>4310</v>
      </c>
      <c r="B444" s="64" t="s">
        <v>3435</v>
      </c>
      <c r="C444" s="116" t="s">
        <v>4274</v>
      </c>
      <c r="D444" s="123" t="s">
        <v>4303</v>
      </c>
      <c r="E444" s="68" t="s">
        <v>4311</v>
      </c>
      <c r="F444" s="70" t="s">
        <v>3409</v>
      </c>
      <c r="G444" s="118" t="s">
        <v>3409</v>
      </c>
    </row>
    <row r="445" spans="1:7" x14ac:dyDescent="0.2">
      <c r="A445" s="68" t="s">
        <v>4312</v>
      </c>
      <c r="B445" s="64" t="s">
        <v>3435</v>
      </c>
      <c r="C445" s="116" t="s">
        <v>4274</v>
      </c>
      <c r="D445" s="123" t="s">
        <v>4303</v>
      </c>
      <c r="E445" s="68" t="s">
        <v>4313</v>
      </c>
      <c r="F445" s="70" t="s">
        <v>3409</v>
      </c>
      <c r="G445" s="118" t="s">
        <v>3409</v>
      </c>
    </row>
    <row r="446" spans="1:7" x14ac:dyDescent="0.25">
      <c r="A446" s="68" t="s">
        <v>4314</v>
      </c>
      <c r="B446" s="64" t="s">
        <v>3435</v>
      </c>
      <c r="C446" s="116" t="s">
        <v>4274</v>
      </c>
      <c r="D446" s="123" t="s">
        <v>4303</v>
      </c>
      <c r="E446" s="68" t="s">
        <v>4315</v>
      </c>
      <c r="F446" s="71" t="s">
        <v>3409</v>
      </c>
      <c r="G446" s="117" t="s">
        <v>3409</v>
      </c>
    </row>
    <row r="447" spans="1:7" x14ac:dyDescent="0.25">
      <c r="A447" s="122" t="s">
        <v>4316</v>
      </c>
      <c r="B447" s="64" t="s">
        <v>3435</v>
      </c>
      <c r="C447" s="116" t="s">
        <v>4274</v>
      </c>
      <c r="D447" s="123" t="s">
        <v>4317</v>
      </c>
      <c r="E447" s="123" t="s">
        <v>3409</v>
      </c>
      <c r="F447" s="123" t="s">
        <v>3409</v>
      </c>
      <c r="G447" s="123" t="s">
        <v>3409</v>
      </c>
    </row>
    <row r="448" spans="1:7" x14ac:dyDescent="0.25">
      <c r="A448" s="68" t="s">
        <v>4318</v>
      </c>
      <c r="B448" s="64" t="s">
        <v>3435</v>
      </c>
      <c r="C448" s="116" t="s">
        <v>4274</v>
      </c>
      <c r="D448" s="123" t="s">
        <v>4317</v>
      </c>
      <c r="E448" s="68" t="s">
        <v>4319</v>
      </c>
      <c r="F448" s="71" t="s">
        <v>3409</v>
      </c>
      <c r="G448" s="117" t="s">
        <v>3409</v>
      </c>
    </row>
    <row r="449" spans="1:7" x14ac:dyDescent="0.2">
      <c r="A449" s="68" t="s">
        <v>4320</v>
      </c>
      <c r="B449" s="64" t="s">
        <v>3435</v>
      </c>
      <c r="C449" s="116" t="s">
        <v>4274</v>
      </c>
      <c r="D449" s="123" t="s">
        <v>4317</v>
      </c>
      <c r="E449" s="68" t="s">
        <v>4321</v>
      </c>
      <c r="F449" s="70" t="s">
        <v>3409</v>
      </c>
      <c r="G449" s="118" t="s">
        <v>3409</v>
      </c>
    </row>
    <row r="450" spans="1:7" x14ac:dyDescent="0.25">
      <c r="A450" s="122" t="s">
        <v>4322</v>
      </c>
      <c r="B450" s="64" t="s">
        <v>3435</v>
      </c>
      <c r="C450" s="116" t="s">
        <v>4274</v>
      </c>
      <c r="D450" s="123" t="s">
        <v>4323</v>
      </c>
      <c r="E450" s="123" t="s">
        <v>3409</v>
      </c>
      <c r="F450" s="123" t="s">
        <v>3409</v>
      </c>
      <c r="G450" s="123" t="s">
        <v>3409</v>
      </c>
    </row>
    <row r="451" spans="1:7" x14ac:dyDescent="0.2">
      <c r="A451" s="68" t="s">
        <v>4324</v>
      </c>
      <c r="B451" s="64" t="s">
        <v>3435</v>
      </c>
      <c r="C451" s="116" t="s">
        <v>4274</v>
      </c>
      <c r="D451" s="123" t="s">
        <v>4323</v>
      </c>
      <c r="E451" s="68" t="s">
        <v>4325</v>
      </c>
      <c r="F451" s="70" t="s">
        <v>3409</v>
      </c>
      <c r="G451" s="118" t="s">
        <v>3409</v>
      </c>
    </row>
    <row r="452" spans="1:7" x14ac:dyDescent="0.25">
      <c r="A452" s="68" t="s">
        <v>4326</v>
      </c>
      <c r="B452" s="64" t="s">
        <v>3435</v>
      </c>
      <c r="C452" s="116" t="s">
        <v>4274</v>
      </c>
      <c r="D452" s="123" t="s">
        <v>4323</v>
      </c>
      <c r="E452" s="68" t="s">
        <v>4327</v>
      </c>
      <c r="F452" s="71" t="s">
        <v>3409</v>
      </c>
      <c r="G452" s="117" t="s">
        <v>3409</v>
      </c>
    </row>
    <row r="453" spans="1:7" x14ac:dyDescent="0.25">
      <c r="A453" s="122" t="s">
        <v>4328</v>
      </c>
      <c r="B453" s="64" t="s">
        <v>3435</v>
      </c>
      <c r="C453" s="116" t="s">
        <v>4274</v>
      </c>
      <c r="D453" s="123" t="s">
        <v>4329</v>
      </c>
      <c r="E453" s="123" t="s">
        <v>3409</v>
      </c>
      <c r="F453" s="123" t="s">
        <v>3409</v>
      </c>
      <c r="G453" s="123" t="s">
        <v>3409</v>
      </c>
    </row>
    <row r="454" spans="1:7" x14ac:dyDescent="0.25">
      <c r="A454" s="68" t="s">
        <v>4330</v>
      </c>
      <c r="B454" s="64" t="s">
        <v>3435</v>
      </c>
      <c r="C454" s="116" t="s">
        <v>4274</v>
      </c>
      <c r="D454" s="123" t="s">
        <v>4329</v>
      </c>
      <c r="E454" s="68" t="s">
        <v>4331</v>
      </c>
      <c r="F454" s="71" t="s">
        <v>3409</v>
      </c>
      <c r="G454" s="117" t="s">
        <v>3409</v>
      </c>
    </row>
    <row r="455" spans="1:7" x14ac:dyDescent="0.25">
      <c r="A455" s="115" t="s">
        <v>4332</v>
      </c>
      <c r="B455" s="64" t="s">
        <v>3435</v>
      </c>
      <c r="C455" s="116" t="s">
        <v>4333</v>
      </c>
      <c r="D455" s="116" t="s">
        <v>3409</v>
      </c>
      <c r="E455" s="116" t="s">
        <v>3409</v>
      </c>
      <c r="F455" s="116" t="s">
        <v>3409</v>
      </c>
      <c r="G455" s="116" t="s">
        <v>3409</v>
      </c>
    </row>
    <row r="456" spans="1:7" x14ac:dyDescent="0.25">
      <c r="A456" s="68" t="s">
        <v>4334</v>
      </c>
      <c r="B456" s="64" t="s">
        <v>3435</v>
      </c>
      <c r="C456" s="116" t="s">
        <v>4333</v>
      </c>
      <c r="D456" s="68" t="s">
        <v>4335</v>
      </c>
      <c r="E456" s="117" t="s">
        <v>3409</v>
      </c>
      <c r="F456" s="71" t="s">
        <v>3409</v>
      </c>
      <c r="G456" s="117" t="s">
        <v>3409</v>
      </c>
    </row>
    <row r="457" spans="1:7" x14ac:dyDescent="0.2">
      <c r="A457" s="68" t="s">
        <v>4336</v>
      </c>
      <c r="B457" s="64" t="s">
        <v>3435</v>
      </c>
      <c r="C457" s="116" t="s">
        <v>4333</v>
      </c>
      <c r="D457" s="68" t="s">
        <v>3501</v>
      </c>
      <c r="E457" s="118" t="s">
        <v>3409</v>
      </c>
      <c r="F457" s="70" t="s">
        <v>3409</v>
      </c>
      <c r="G457" s="118" t="s">
        <v>3409</v>
      </c>
    </row>
    <row r="458" spans="1:7" x14ac:dyDescent="0.25">
      <c r="A458" s="68" t="s">
        <v>4337</v>
      </c>
      <c r="B458" s="64" t="s">
        <v>3435</v>
      </c>
      <c r="C458" s="116" t="s">
        <v>4333</v>
      </c>
      <c r="D458" s="68" t="s">
        <v>3499</v>
      </c>
      <c r="E458" s="117" t="s">
        <v>3409</v>
      </c>
      <c r="F458" s="71" t="s">
        <v>3409</v>
      </c>
      <c r="G458" s="117" t="s">
        <v>3409</v>
      </c>
    </row>
    <row r="459" spans="1:7" x14ac:dyDescent="0.25">
      <c r="A459" s="68" t="s">
        <v>4338</v>
      </c>
      <c r="B459" s="64" t="s">
        <v>3435</v>
      </c>
      <c r="C459" s="116" t="s">
        <v>4333</v>
      </c>
      <c r="D459" s="120" t="s">
        <v>3488</v>
      </c>
      <c r="E459" s="117" t="s">
        <v>3409</v>
      </c>
      <c r="F459" s="71" t="s">
        <v>3409</v>
      </c>
      <c r="G459" s="117" t="s">
        <v>3409</v>
      </c>
    </row>
    <row r="460" spans="1:7" x14ac:dyDescent="0.2">
      <c r="A460" s="68" t="s">
        <v>4339</v>
      </c>
      <c r="B460" s="64" t="s">
        <v>3435</v>
      </c>
      <c r="C460" s="116" t="s">
        <v>4333</v>
      </c>
      <c r="D460" s="131" t="s">
        <v>4340</v>
      </c>
      <c r="E460" s="121" t="s">
        <v>3409</v>
      </c>
      <c r="F460" s="73" t="s">
        <v>3409</v>
      </c>
      <c r="G460" s="121" t="s">
        <v>3409</v>
      </c>
    </row>
    <row r="461" spans="1:7" x14ac:dyDescent="0.2">
      <c r="A461" s="68" t="s">
        <v>4341</v>
      </c>
      <c r="B461" s="64" t="s">
        <v>3435</v>
      </c>
      <c r="C461" s="116" t="s">
        <v>4333</v>
      </c>
      <c r="D461" s="131" t="s">
        <v>3431</v>
      </c>
      <c r="E461" s="121" t="s">
        <v>3409</v>
      </c>
      <c r="F461" s="73" t="s">
        <v>3409</v>
      </c>
      <c r="G461" s="121" t="s">
        <v>3409</v>
      </c>
    </row>
    <row r="462" spans="1:7" x14ac:dyDescent="0.2">
      <c r="A462" s="68" t="s">
        <v>4342</v>
      </c>
      <c r="B462" s="64" t="s">
        <v>3435</v>
      </c>
      <c r="C462" s="116" t="s">
        <v>4333</v>
      </c>
      <c r="D462" s="131" t="s">
        <v>4343</v>
      </c>
      <c r="E462" s="121" t="s">
        <v>3409</v>
      </c>
      <c r="F462" s="73" t="s">
        <v>3409</v>
      </c>
      <c r="G462" s="121" t="s">
        <v>3409</v>
      </c>
    </row>
    <row r="463" spans="1:7" x14ac:dyDescent="0.25">
      <c r="A463" s="68" t="s">
        <v>4344</v>
      </c>
      <c r="B463" s="64" t="s">
        <v>3435</v>
      </c>
      <c r="C463" s="116" t="s">
        <v>4333</v>
      </c>
      <c r="D463" s="68" t="s">
        <v>4345</v>
      </c>
      <c r="E463" s="117" t="s">
        <v>3409</v>
      </c>
      <c r="F463" s="71" t="s">
        <v>3409</v>
      </c>
      <c r="G463" s="117" t="s">
        <v>3409</v>
      </c>
    </row>
    <row r="464" spans="1:7" x14ac:dyDescent="0.2">
      <c r="A464" s="68" t="s">
        <v>4346</v>
      </c>
      <c r="B464" s="64" t="s">
        <v>3435</v>
      </c>
      <c r="C464" s="116" t="s">
        <v>4333</v>
      </c>
      <c r="D464" s="68" t="s">
        <v>3433</v>
      </c>
      <c r="E464" s="118" t="s">
        <v>3409</v>
      </c>
      <c r="F464" s="70" t="s">
        <v>3409</v>
      </c>
      <c r="G464" s="118" t="s">
        <v>3409</v>
      </c>
    </row>
    <row r="465" spans="1:7" x14ac:dyDescent="0.25">
      <c r="A465" s="122" t="s">
        <v>4347</v>
      </c>
      <c r="B465" s="64" t="s">
        <v>3435</v>
      </c>
      <c r="C465" s="116" t="s">
        <v>4333</v>
      </c>
      <c r="D465" s="123" t="s">
        <v>4348</v>
      </c>
      <c r="E465" s="123" t="s">
        <v>3409</v>
      </c>
      <c r="F465" s="123" t="s">
        <v>3409</v>
      </c>
      <c r="G465" s="123" t="s">
        <v>3409</v>
      </c>
    </row>
    <row r="466" spans="1:7" x14ac:dyDescent="0.2">
      <c r="A466" s="68" t="s">
        <v>4349</v>
      </c>
      <c r="B466" s="64" t="s">
        <v>3435</v>
      </c>
      <c r="C466" s="116" t="s">
        <v>4333</v>
      </c>
      <c r="D466" s="123" t="s">
        <v>4348</v>
      </c>
      <c r="E466" s="68" t="s">
        <v>4350</v>
      </c>
      <c r="F466" s="70" t="s">
        <v>3409</v>
      </c>
      <c r="G466" s="118" t="s">
        <v>3409</v>
      </c>
    </row>
    <row r="467" spans="1:7" x14ac:dyDescent="0.25">
      <c r="A467" s="68" t="s">
        <v>4351</v>
      </c>
      <c r="B467" s="64" t="s">
        <v>3435</v>
      </c>
      <c r="C467" s="116" t="s">
        <v>4333</v>
      </c>
      <c r="D467" s="123" t="s">
        <v>4348</v>
      </c>
      <c r="E467" s="68" t="s">
        <v>4352</v>
      </c>
      <c r="F467" s="71" t="s">
        <v>3409</v>
      </c>
      <c r="G467" s="117" t="s">
        <v>3409</v>
      </c>
    </row>
    <row r="468" spans="1:7" x14ac:dyDescent="0.2">
      <c r="A468" s="68" t="s">
        <v>4353</v>
      </c>
      <c r="B468" s="64" t="s">
        <v>3435</v>
      </c>
      <c r="C468" s="116" t="s">
        <v>4333</v>
      </c>
      <c r="D468" s="123" t="s">
        <v>4348</v>
      </c>
      <c r="E468" s="68" t="s">
        <v>4354</v>
      </c>
      <c r="F468" s="70" t="s">
        <v>3409</v>
      </c>
      <c r="G468" s="118" t="s">
        <v>3409</v>
      </c>
    </row>
    <row r="469" spans="1:7" x14ac:dyDescent="0.25">
      <c r="A469" s="122" t="s">
        <v>4355</v>
      </c>
      <c r="B469" s="64" t="s">
        <v>3435</v>
      </c>
      <c r="C469" s="116" t="s">
        <v>4333</v>
      </c>
      <c r="D469" s="123" t="s">
        <v>4356</v>
      </c>
      <c r="E469" s="123" t="s">
        <v>3409</v>
      </c>
      <c r="F469" s="123" t="s">
        <v>3409</v>
      </c>
      <c r="G469" s="123" t="s">
        <v>3409</v>
      </c>
    </row>
    <row r="470" spans="1:7" x14ac:dyDescent="0.25">
      <c r="A470" s="124" t="s">
        <v>4357</v>
      </c>
      <c r="B470" s="64" t="s">
        <v>3435</v>
      </c>
      <c r="C470" s="116" t="s">
        <v>4333</v>
      </c>
      <c r="D470" s="123" t="s">
        <v>4356</v>
      </c>
      <c r="E470" s="125" t="s">
        <v>4358</v>
      </c>
      <c r="F470" s="125" t="s">
        <v>3409</v>
      </c>
      <c r="G470" s="125" t="s">
        <v>3409</v>
      </c>
    </row>
    <row r="471" spans="1:7" x14ac:dyDescent="0.25">
      <c r="A471" s="68" t="s">
        <v>4359</v>
      </c>
      <c r="B471" s="64" t="s">
        <v>3435</v>
      </c>
      <c r="C471" s="116" t="s">
        <v>4333</v>
      </c>
      <c r="D471" s="123" t="s">
        <v>4356</v>
      </c>
      <c r="E471" s="125" t="s">
        <v>4358</v>
      </c>
      <c r="F471" s="69" t="s">
        <v>4360</v>
      </c>
      <c r="G471" s="117" t="s">
        <v>3409</v>
      </c>
    </row>
    <row r="472" spans="1:7" x14ac:dyDescent="0.2">
      <c r="A472" s="68" t="s">
        <v>4361</v>
      </c>
      <c r="B472" s="64" t="s">
        <v>3435</v>
      </c>
      <c r="C472" s="116" t="s">
        <v>4333</v>
      </c>
      <c r="D472" s="123" t="s">
        <v>4356</v>
      </c>
      <c r="E472" s="68" t="s">
        <v>4362</v>
      </c>
      <c r="F472" s="70" t="s">
        <v>3409</v>
      </c>
      <c r="G472" s="118" t="s">
        <v>3409</v>
      </c>
    </row>
    <row r="473" spans="1:7" x14ac:dyDescent="0.25">
      <c r="A473" s="68" t="s">
        <v>4363</v>
      </c>
      <c r="B473" s="64" t="s">
        <v>3435</v>
      </c>
      <c r="C473" s="116" t="s">
        <v>4333</v>
      </c>
      <c r="D473" s="123" t="s">
        <v>4356</v>
      </c>
      <c r="E473" s="68" t="s">
        <v>4364</v>
      </c>
      <c r="F473" s="71" t="s">
        <v>3409</v>
      </c>
      <c r="G473" s="117" t="s">
        <v>3409</v>
      </c>
    </row>
    <row r="474" spans="1:7" x14ac:dyDescent="0.2">
      <c r="A474" s="68" t="s">
        <v>4365</v>
      </c>
      <c r="B474" s="64" t="s">
        <v>3435</v>
      </c>
      <c r="C474" s="116" t="s">
        <v>4333</v>
      </c>
      <c r="D474" s="123" t="s">
        <v>4356</v>
      </c>
      <c r="E474" s="68" t="s">
        <v>4366</v>
      </c>
      <c r="F474" s="70" t="s">
        <v>3409</v>
      </c>
      <c r="G474" s="118" t="s">
        <v>3409</v>
      </c>
    </row>
    <row r="475" spans="1:7" x14ac:dyDescent="0.25">
      <c r="A475" s="68" t="s">
        <v>4367</v>
      </c>
      <c r="B475" s="64" t="s">
        <v>3435</v>
      </c>
      <c r="C475" s="116" t="s">
        <v>4333</v>
      </c>
      <c r="D475" s="123" t="s">
        <v>4356</v>
      </c>
      <c r="E475" s="68" t="s">
        <v>4368</v>
      </c>
      <c r="F475" s="71" t="s">
        <v>3409</v>
      </c>
      <c r="G475" s="117" t="s">
        <v>3409</v>
      </c>
    </row>
    <row r="476" spans="1:7" x14ac:dyDescent="0.25">
      <c r="A476" s="120" t="s">
        <v>4369</v>
      </c>
      <c r="B476" s="64" t="s">
        <v>3435</v>
      </c>
      <c r="C476" s="116" t="s">
        <v>4333</v>
      </c>
      <c r="D476" s="120" t="s">
        <v>4370</v>
      </c>
      <c r="E476" s="121" t="s">
        <v>3409</v>
      </c>
      <c r="F476" s="73" t="s">
        <v>3409</v>
      </c>
      <c r="G476" s="121" t="s">
        <v>3409</v>
      </c>
    </row>
    <row r="477" spans="1:7" x14ac:dyDescent="0.25">
      <c r="A477" s="122" t="s">
        <v>4371</v>
      </c>
      <c r="B477" s="64" t="s">
        <v>3435</v>
      </c>
      <c r="C477" s="116" t="s">
        <v>4333</v>
      </c>
      <c r="D477" s="123" t="s">
        <v>4372</v>
      </c>
      <c r="E477" s="123" t="s">
        <v>3409</v>
      </c>
      <c r="F477" s="123" t="s">
        <v>3409</v>
      </c>
      <c r="G477" s="123" t="s">
        <v>3409</v>
      </c>
    </row>
    <row r="478" spans="1:7" x14ac:dyDescent="0.25">
      <c r="A478" s="124" t="s">
        <v>4373</v>
      </c>
      <c r="B478" s="64" t="s">
        <v>3435</v>
      </c>
      <c r="C478" s="116" t="s">
        <v>4333</v>
      </c>
      <c r="D478" s="123" t="s">
        <v>4372</v>
      </c>
      <c r="E478" s="125" t="s">
        <v>4374</v>
      </c>
      <c r="F478" s="125" t="s">
        <v>3409</v>
      </c>
      <c r="G478" s="125" t="s">
        <v>3409</v>
      </c>
    </row>
    <row r="479" spans="1:7" x14ac:dyDescent="0.25">
      <c r="A479" s="68" t="s">
        <v>4375</v>
      </c>
      <c r="B479" s="64" t="s">
        <v>3435</v>
      </c>
      <c r="C479" s="116" t="s">
        <v>4333</v>
      </c>
      <c r="D479" s="123" t="s">
        <v>4372</v>
      </c>
      <c r="E479" s="125" t="s">
        <v>4374</v>
      </c>
      <c r="F479" s="73" t="s">
        <v>4376</v>
      </c>
      <c r="G479" s="117" t="s">
        <v>3409</v>
      </c>
    </row>
    <row r="480" spans="1:7" x14ac:dyDescent="0.25">
      <c r="A480" s="68" t="s">
        <v>4377</v>
      </c>
      <c r="B480" s="64" t="s">
        <v>3435</v>
      </c>
      <c r="C480" s="116" t="s">
        <v>4333</v>
      </c>
      <c r="D480" s="123" t="s">
        <v>4372</v>
      </c>
      <c r="E480" s="125" t="s">
        <v>4374</v>
      </c>
      <c r="F480" s="73" t="s">
        <v>4378</v>
      </c>
      <c r="G480" s="117" t="s">
        <v>3409</v>
      </c>
    </row>
    <row r="481" spans="1:7" x14ac:dyDescent="0.25">
      <c r="A481" s="124" t="s">
        <v>4379</v>
      </c>
      <c r="B481" s="64" t="s">
        <v>3435</v>
      </c>
      <c r="C481" s="116" t="s">
        <v>4333</v>
      </c>
      <c r="D481" s="123" t="s">
        <v>4372</v>
      </c>
      <c r="E481" s="125" t="s">
        <v>4380</v>
      </c>
      <c r="F481" s="125" t="s">
        <v>3409</v>
      </c>
      <c r="G481" s="125" t="s">
        <v>3409</v>
      </c>
    </row>
    <row r="482" spans="1:7" x14ac:dyDescent="0.25">
      <c r="A482" s="68" t="s">
        <v>4381</v>
      </c>
      <c r="B482" s="64" t="s">
        <v>3435</v>
      </c>
      <c r="C482" s="116" t="s">
        <v>4333</v>
      </c>
      <c r="D482" s="123" t="s">
        <v>4372</v>
      </c>
      <c r="E482" s="125" t="s">
        <v>4380</v>
      </c>
      <c r="F482" s="128" t="s">
        <v>4382</v>
      </c>
      <c r="G482" s="117" t="s">
        <v>3409</v>
      </c>
    </row>
    <row r="483" spans="1:7" x14ac:dyDescent="0.25">
      <c r="A483" s="68" t="s">
        <v>4383</v>
      </c>
      <c r="B483" s="64" t="s">
        <v>3435</v>
      </c>
      <c r="C483" s="116" t="s">
        <v>4333</v>
      </c>
      <c r="D483" s="123" t="s">
        <v>4372</v>
      </c>
      <c r="E483" s="125" t="s">
        <v>4380</v>
      </c>
      <c r="F483" s="73" t="s">
        <v>4384</v>
      </c>
      <c r="G483" s="117" t="s">
        <v>3409</v>
      </c>
    </row>
    <row r="484" spans="1:7" x14ac:dyDescent="0.25">
      <c r="A484" s="115" t="s">
        <v>4385</v>
      </c>
      <c r="B484" s="64" t="s">
        <v>3435</v>
      </c>
      <c r="C484" s="116" t="s">
        <v>4386</v>
      </c>
      <c r="D484" s="116" t="s">
        <v>3409</v>
      </c>
      <c r="E484" s="116" t="s">
        <v>3409</v>
      </c>
      <c r="F484" s="116" t="s">
        <v>3409</v>
      </c>
      <c r="G484" s="116" t="s">
        <v>3409</v>
      </c>
    </row>
    <row r="485" spans="1:7" x14ac:dyDescent="0.25">
      <c r="A485" s="122" t="s">
        <v>4387</v>
      </c>
      <c r="B485" s="64" t="s">
        <v>3435</v>
      </c>
      <c r="C485" s="116" t="s">
        <v>4386</v>
      </c>
      <c r="D485" s="123" t="s">
        <v>4388</v>
      </c>
      <c r="E485" s="123" t="s">
        <v>3409</v>
      </c>
      <c r="F485" s="123" t="s">
        <v>3409</v>
      </c>
      <c r="G485" s="123" t="s">
        <v>3409</v>
      </c>
    </row>
    <row r="486" spans="1:7" x14ac:dyDescent="0.25">
      <c r="A486" s="68" t="s">
        <v>4389</v>
      </c>
      <c r="B486" s="64" t="s">
        <v>3435</v>
      </c>
      <c r="C486" s="116" t="s">
        <v>4386</v>
      </c>
      <c r="D486" s="123" t="s">
        <v>4388</v>
      </c>
      <c r="E486" s="68" t="s">
        <v>4390</v>
      </c>
      <c r="F486" s="71" t="s">
        <v>3409</v>
      </c>
      <c r="G486" s="117" t="s">
        <v>3409</v>
      </c>
    </row>
    <row r="487" spans="1:7" x14ac:dyDescent="0.2">
      <c r="A487" s="68" t="s">
        <v>4391</v>
      </c>
      <c r="B487" s="64" t="s">
        <v>3435</v>
      </c>
      <c r="C487" s="116" t="s">
        <v>4386</v>
      </c>
      <c r="D487" s="123" t="s">
        <v>4388</v>
      </c>
      <c r="E487" s="68" t="s">
        <v>4392</v>
      </c>
      <c r="F487" s="70" t="s">
        <v>3409</v>
      </c>
      <c r="G487" s="118" t="s">
        <v>3409</v>
      </c>
    </row>
    <row r="488" spans="1:7" x14ac:dyDescent="0.25">
      <c r="A488" s="68" t="s">
        <v>4393</v>
      </c>
      <c r="B488" s="64" t="s">
        <v>3435</v>
      </c>
      <c r="C488" s="116" t="s">
        <v>4386</v>
      </c>
      <c r="D488" s="123" t="s">
        <v>4388</v>
      </c>
      <c r="E488" s="121" t="s">
        <v>4394</v>
      </c>
      <c r="F488" s="71" t="s">
        <v>3409</v>
      </c>
      <c r="G488" s="117" t="s">
        <v>3409</v>
      </c>
    </row>
    <row r="489" spans="1:7" x14ac:dyDescent="0.25">
      <c r="A489" s="68" t="s">
        <v>4395</v>
      </c>
      <c r="B489" s="64" t="s">
        <v>3435</v>
      </c>
      <c r="C489" s="116" t="s">
        <v>4386</v>
      </c>
      <c r="D489" s="123" t="s">
        <v>4388</v>
      </c>
      <c r="E489" s="121" t="s">
        <v>4396</v>
      </c>
      <c r="F489" s="71" t="s">
        <v>3409</v>
      </c>
      <c r="G489" s="117" t="s">
        <v>3409</v>
      </c>
    </row>
    <row r="490" spans="1:7" x14ac:dyDescent="0.2">
      <c r="A490" s="68" t="s">
        <v>4397</v>
      </c>
      <c r="B490" s="64" t="s">
        <v>3435</v>
      </c>
      <c r="C490" s="116" t="s">
        <v>4386</v>
      </c>
      <c r="D490" s="123" t="s">
        <v>4388</v>
      </c>
      <c r="E490" s="68" t="s">
        <v>4398</v>
      </c>
      <c r="F490" s="70" t="s">
        <v>3409</v>
      </c>
      <c r="G490" s="118" t="s">
        <v>3409</v>
      </c>
    </row>
    <row r="491" spans="1:7" x14ac:dyDescent="0.25">
      <c r="A491" s="122" t="s">
        <v>4399</v>
      </c>
      <c r="B491" s="64" t="s">
        <v>3435</v>
      </c>
      <c r="C491" s="116" t="s">
        <v>4386</v>
      </c>
      <c r="D491" s="123" t="s">
        <v>158</v>
      </c>
      <c r="E491" s="123" t="s">
        <v>3409</v>
      </c>
      <c r="F491" s="123" t="s">
        <v>3409</v>
      </c>
      <c r="G491" s="123" t="s">
        <v>3409</v>
      </c>
    </row>
    <row r="492" spans="1:7" x14ac:dyDescent="0.2">
      <c r="A492" s="68" t="s">
        <v>154</v>
      </c>
      <c r="B492" s="64" t="s">
        <v>3435</v>
      </c>
      <c r="C492" s="116" t="s">
        <v>4386</v>
      </c>
      <c r="D492" s="123" t="s">
        <v>158</v>
      </c>
      <c r="E492" s="68" t="s">
        <v>158</v>
      </c>
      <c r="F492" s="70" t="s">
        <v>3409</v>
      </c>
      <c r="G492" s="118" t="s">
        <v>3409</v>
      </c>
    </row>
    <row r="493" spans="1:7" x14ac:dyDescent="0.25">
      <c r="A493" s="68" t="s">
        <v>4400</v>
      </c>
      <c r="B493" s="64" t="s">
        <v>3435</v>
      </c>
      <c r="C493" s="116" t="s">
        <v>4386</v>
      </c>
      <c r="D493" s="123" t="s">
        <v>158</v>
      </c>
      <c r="E493" s="68" t="s">
        <v>4401</v>
      </c>
      <c r="F493" s="71" t="s">
        <v>3409</v>
      </c>
      <c r="G493" s="117" t="s">
        <v>3409</v>
      </c>
    </row>
    <row r="494" spans="1:7" x14ac:dyDescent="0.2">
      <c r="A494" s="68" t="s">
        <v>4402</v>
      </c>
      <c r="B494" s="64" t="s">
        <v>3435</v>
      </c>
      <c r="C494" s="116" t="s">
        <v>4386</v>
      </c>
      <c r="D494" s="123" t="s">
        <v>158</v>
      </c>
      <c r="E494" s="68" t="s">
        <v>4403</v>
      </c>
      <c r="F494" s="70" t="s">
        <v>3409</v>
      </c>
      <c r="G494" s="118" t="s">
        <v>3409</v>
      </c>
    </row>
    <row r="495" spans="1:7" x14ac:dyDescent="0.25">
      <c r="A495" s="68" t="s">
        <v>4404</v>
      </c>
      <c r="B495" s="64" t="s">
        <v>3435</v>
      </c>
      <c r="C495" s="116" t="s">
        <v>4386</v>
      </c>
      <c r="D495" s="68" t="s">
        <v>4405</v>
      </c>
      <c r="E495" s="117" t="s">
        <v>3409</v>
      </c>
      <c r="F495" s="71" t="s">
        <v>3409</v>
      </c>
      <c r="G495" s="117" t="s">
        <v>3409</v>
      </c>
    </row>
    <row r="496" spans="1:7" x14ac:dyDescent="0.25">
      <c r="A496" s="122" t="s">
        <v>4406</v>
      </c>
      <c r="B496" s="64" t="s">
        <v>3435</v>
      </c>
      <c r="C496" s="116" t="s">
        <v>4386</v>
      </c>
      <c r="D496" s="123" t="s">
        <v>4407</v>
      </c>
      <c r="E496" s="123" t="s">
        <v>3409</v>
      </c>
      <c r="F496" s="123" t="s">
        <v>3409</v>
      </c>
      <c r="G496" s="123" t="s">
        <v>3409</v>
      </c>
    </row>
    <row r="497" spans="1:7" x14ac:dyDescent="0.25">
      <c r="A497" s="68" t="s">
        <v>4408</v>
      </c>
      <c r="B497" s="64" t="s">
        <v>3435</v>
      </c>
      <c r="C497" s="116" t="s">
        <v>4386</v>
      </c>
      <c r="D497" s="123" t="s">
        <v>4407</v>
      </c>
      <c r="E497" s="68" t="s">
        <v>4409</v>
      </c>
      <c r="F497" s="71" t="s">
        <v>3409</v>
      </c>
      <c r="G497" s="117" t="s">
        <v>3409</v>
      </c>
    </row>
    <row r="498" spans="1:7" x14ac:dyDescent="0.2">
      <c r="A498" s="68" t="s">
        <v>4410</v>
      </c>
      <c r="B498" s="64" t="s">
        <v>3435</v>
      </c>
      <c r="C498" s="116" t="s">
        <v>4386</v>
      </c>
      <c r="D498" s="123" t="s">
        <v>4407</v>
      </c>
      <c r="E498" s="68" t="s">
        <v>4411</v>
      </c>
      <c r="F498" s="70" t="s">
        <v>3409</v>
      </c>
      <c r="G498" s="118" t="s">
        <v>3409</v>
      </c>
    </row>
    <row r="499" spans="1:7" x14ac:dyDescent="0.25">
      <c r="A499" s="68" t="s">
        <v>4412</v>
      </c>
      <c r="B499" s="64" t="s">
        <v>3435</v>
      </c>
      <c r="C499" s="116" t="s">
        <v>4386</v>
      </c>
      <c r="D499" s="123" t="s">
        <v>4407</v>
      </c>
      <c r="E499" s="68" t="s">
        <v>4413</v>
      </c>
      <c r="F499" s="71" t="s">
        <v>3409</v>
      </c>
      <c r="G499" s="117" t="s">
        <v>3409</v>
      </c>
    </row>
    <row r="500" spans="1:7" x14ac:dyDescent="0.2">
      <c r="A500" s="68" t="s">
        <v>4414</v>
      </c>
      <c r="B500" s="64" t="s">
        <v>3435</v>
      </c>
      <c r="C500" s="116" t="s">
        <v>4386</v>
      </c>
      <c r="D500" s="123" t="s">
        <v>4407</v>
      </c>
      <c r="E500" s="68" t="s">
        <v>4415</v>
      </c>
      <c r="F500" s="70" t="s">
        <v>3409</v>
      </c>
      <c r="G500" s="118" t="s">
        <v>3409</v>
      </c>
    </row>
    <row r="501" spans="1:7" x14ac:dyDescent="0.25">
      <c r="A501" s="115" t="s">
        <v>4416</v>
      </c>
      <c r="B501" s="64" t="s">
        <v>3435</v>
      </c>
      <c r="C501" s="116" t="s">
        <v>4417</v>
      </c>
      <c r="D501" s="116" t="s">
        <v>3409</v>
      </c>
      <c r="E501" s="116" t="s">
        <v>3409</v>
      </c>
      <c r="F501" s="116" t="s">
        <v>3409</v>
      </c>
      <c r="G501" s="116" t="s">
        <v>3409</v>
      </c>
    </row>
    <row r="502" spans="1:7" x14ac:dyDescent="0.2">
      <c r="A502" s="68" t="s">
        <v>4418</v>
      </c>
      <c r="B502" s="64" t="s">
        <v>3435</v>
      </c>
      <c r="C502" s="116" t="s">
        <v>4417</v>
      </c>
      <c r="D502" s="68" t="s">
        <v>3433</v>
      </c>
      <c r="E502" s="118" t="s">
        <v>3409</v>
      </c>
      <c r="F502" s="70" t="s">
        <v>3409</v>
      </c>
      <c r="G502" s="118" t="s">
        <v>3409</v>
      </c>
    </row>
    <row r="503" spans="1:7" x14ac:dyDescent="0.25">
      <c r="A503" s="68" t="s">
        <v>4419</v>
      </c>
      <c r="B503" s="64" t="s">
        <v>3435</v>
      </c>
      <c r="C503" s="116" t="s">
        <v>4417</v>
      </c>
      <c r="D503" s="68" t="s">
        <v>3431</v>
      </c>
      <c r="E503" s="117" t="s">
        <v>3409</v>
      </c>
      <c r="F503" s="71" t="s">
        <v>3409</v>
      </c>
      <c r="G503" s="117" t="s">
        <v>3409</v>
      </c>
    </row>
    <row r="504" spans="1:7" x14ac:dyDescent="0.2">
      <c r="A504" s="68" t="s">
        <v>4420</v>
      </c>
      <c r="B504" s="64" t="s">
        <v>3435</v>
      </c>
      <c r="C504" s="116" t="s">
        <v>4417</v>
      </c>
      <c r="D504" s="68" t="s">
        <v>158</v>
      </c>
      <c r="E504" s="118" t="s">
        <v>3409</v>
      </c>
      <c r="F504" s="70" t="s">
        <v>3409</v>
      </c>
      <c r="G504" s="118" t="s">
        <v>3409</v>
      </c>
    </row>
    <row r="505" spans="1:7" x14ac:dyDescent="0.2">
      <c r="A505" s="68" t="s">
        <v>4421</v>
      </c>
      <c r="B505" s="64" t="s">
        <v>3435</v>
      </c>
      <c r="C505" s="116" t="s">
        <v>4417</v>
      </c>
      <c r="D505" s="68" t="s">
        <v>4422</v>
      </c>
      <c r="E505" s="118" t="s">
        <v>3409</v>
      </c>
      <c r="F505" s="70" t="s">
        <v>3409</v>
      </c>
      <c r="G505" s="118" t="s">
        <v>3409</v>
      </c>
    </row>
    <row r="506" spans="1:7" x14ac:dyDescent="0.25">
      <c r="A506" s="115" t="s">
        <v>4423</v>
      </c>
      <c r="B506" s="64" t="s">
        <v>3435</v>
      </c>
      <c r="C506" s="116" t="s">
        <v>4424</v>
      </c>
      <c r="D506" s="116" t="s">
        <v>3409</v>
      </c>
      <c r="E506" s="116" t="s">
        <v>3409</v>
      </c>
      <c r="F506" s="116" t="s">
        <v>3409</v>
      </c>
      <c r="G506" s="116" t="s">
        <v>3409</v>
      </c>
    </row>
    <row r="507" spans="1:7" x14ac:dyDescent="0.2">
      <c r="A507" s="68" t="s">
        <v>4425</v>
      </c>
      <c r="B507" s="64" t="s">
        <v>3435</v>
      </c>
      <c r="C507" s="116" t="s">
        <v>4424</v>
      </c>
      <c r="D507" s="68" t="s">
        <v>3431</v>
      </c>
      <c r="E507" s="118" t="s">
        <v>3409</v>
      </c>
      <c r="F507" s="70" t="s">
        <v>3409</v>
      </c>
      <c r="G507" s="118" t="s">
        <v>3409</v>
      </c>
    </row>
    <row r="508" spans="1:7" x14ac:dyDescent="0.25">
      <c r="A508" s="122" t="s">
        <v>4426</v>
      </c>
      <c r="B508" s="64" t="s">
        <v>3435</v>
      </c>
      <c r="C508" s="116" t="s">
        <v>4424</v>
      </c>
      <c r="D508" s="123" t="s">
        <v>4427</v>
      </c>
      <c r="E508" s="123" t="s">
        <v>3409</v>
      </c>
      <c r="F508" s="123" t="s">
        <v>3409</v>
      </c>
      <c r="G508" s="123" t="s">
        <v>3409</v>
      </c>
    </row>
    <row r="509" spans="1:7" x14ac:dyDescent="0.25">
      <c r="A509" s="68" t="s">
        <v>4428</v>
      </c>
      <c r="B509" s="64" t="s">
        <v>3435</v>
      </c>
      <c r="C509" s="116" t="s">
        <v>4424</v>
      </c>
      <c r="D509" s="123" t="s">
        <v>4427</v>
      </c>
      <c r="E509" s="68" t="s">
        <v>4429</v>
      </c>
      <c r="F509" s="71" t="s">
        <v>3409</v>
      </c>
      <c r="G509" s="117" t="s">
        <v>3409</v>
      </c>
    </row>
    <row r="510" spans="1:7" x14ac:dyDescent="0.2">
      <c r="A510" s="68" t="s">
        <v>4430</v>
      </c>
      <c r="B510" s="64" t="s">
        <v>3435</v>
      </c>
      <c r="C510" s="116" t="s">
        <v>4424</v>
      </c>
      <c r="D510" s="123" t="s">
        <v>4427</v>
      </c>
      <c r="E510" s="68" t="s">
        <v>4431</v>
      </c>
      <c r="F510" s="70" t="s">
        <v>3409</v>
      </c>
      <c r="G510" s="118" t="s">
        <v>3409</v>
      </c>
    </row>
    <row r="511" spans="1:7" x14ac:dyDescent="0.25">
      <c r="A511" s="68" t="s">
        <v>4432</v>
      </c>
      <c r="B511" s="64" t="s">
        <v>3435</v>
      </c>
      <c r="C511" s="116" t="s">
        <v>4424</v>
      </c>
      <c r="D511" s="123" t="s">
        <v>4427</v>
      </c>
      <c r="E511" s="68" t="s">
        <v>4433</v>
      </c>
      <c r="F511" s="71" t="s">
        <v>3409</v>
      </c>
      <c r="G511" s="117" t="s">
        <v>3409</v>
      </c>
    </row>
    <row r="512" spans="1:7" x14ac:dyDescent="0.25">
      <c r="A512" s="115" t="s">
        <v>4434</v>
      </c>
      <c r="B512" s="64" t="s">
        <v>3435</v>
      </c>
      <c r="C512" s="116" t="s">
        <v>4435</v>
      </c>
      <c r="D512" s="116" t="s">
        <v>3409</v>
      </c>
      <c r="E512" s="116" t="s">
        <v>3409</v>
      </c>
      <c r="F512" s="116" t="s">
        <v>3409</v>
      </c>
      <c r="G512" s="116" t="s">
        <v>3409</v>
      </c>
    </row>
    <row r="513" spans="1:7" x14ac:dyDescent="0.25">
      <c r="A513" s="68" t="s">
        <v>4436</v>
      </c>
      <c r="B513" s="64" t="s">
        <v>3435</v>
      </c>
      <c r="C513" s="116" t="s">
        <v>4435</v>
      </c>
      <c r="D513" s="121" t="s">
        <v>4437</v>
      </c>
      <c r="E513" s="117" t="s">
        <v>3409</v>
      </c>
      <c r="F513" s="71" t="s">
        <v>3409</v>
      </c>
      <c r="G513" s="117" t="s">
        <v>3409</v>
      </c>
    </row>
    <row r="514" spans="1:7" x14ac:dyDescent="0.25">
      <c r="A514" s="63" t="s">
        <v>4438</v>
      </c>
      <c r="B514" s="64" t="s">
        <v>4439</v>
      </c>
      <c r="C514" s="64" t="s">
        <v>3409</v>
      </c>
      <c r="D514" s="64" t="s">
        <v>3409</v>
      </c>
      <c r="E514" s="64" t="s">
        <v>3409</v>
      </c>
      <c r="F514" s="64" t="s">
        <v>3409</v>
      </c>
      <c r="G514" s="64" t="s">
        <v>3409</v>
      </c>
    </row>
    <row r="515" spans="1:7" x14ac:dyDescent="0.25">
      <c r="A515" s="115" t="s">
        <v>4440</v>
      </c>
      <c r="B515" s="64" t="s">
        <v>4439</v>
      </c>
      <c r="C515" s="116" t="s">
        <v>4441</v>
      </c>
      <c r="D515" s="116" t="s">
        <v>3409</v>
      </c>
      <c r="E515" s="116" t="s">
        <v>3409</v>
      </c>
      <c r="F515" s="116" t="s">
        <v>3409</v>
      </c>
      <c r="G515" s="116" t="s">
        <v>3409</v>
      </c>
    </row>
    <row r="516" spans="1:7" x14ac:dyDescent="0.25">
      <c r="A516" s="122" t="s">
        <v>4442</v>
      </c>
      <c r="B516" s="64" t="s">
        <v>4439</v>
      </c>
      <c r="C516" s="116" t="s">
        <v>4441</v>
      </c>
      <c r="D516" s="123" t="s">
        <v>4443</v>
      </c>
      <c r="E516" s="123" t="s">
        <v>3409</v>
      </c>
      <c r="F516" s="123" t="s">
        <v>3409</v>
      </c>
      <c r="G516" s="123" t="s">
        <v>3409</v>
      </c>
    </row>
    <row r="517" spans="1:7" x14ac:dyDescent="0.2">
      <c r="A517" s="68" t="s">
        <v>4444</v>
      </c>
      <c r="B517" s="64" t="s">
        <v>4439</v>
      </c>
      <c r="C517" s="116" t="s">
        <v>4441</v>
      </c>
      <c r="D517" s="123" t="s">
        <v>4443</v>
      </c>
      <c r="E517" s="68" t="s">
        <v>4445</v>
      </c>
      <c r="F517" s="70" t="s">
        <v>3409</v>
      </c>
      <c r="G517" s="118" t="s">
        <v>3409</v>
      </c>
    </row>
    <row r="518" spans="1:7" x14ac:dyDescent="0.25">
      <c r="A518" s="68" t="s">
        <v>4446</v>
      </c>
      <c r="B518" s="64" t="s">
        <v>4439</v>
      </c>
      <c r="C518" s="116" t="s">
        <v>4441</v>
      </c>
      <c r="D518" s="123" t="s">
        <v>4443</v>
      </c>
      <c r="E518" s="68" t="s">
        <v>4447</v>
      </c>
      <c r="F518" s="71" t="s">
        <v>3409</v>
      </c>
      <c r="G518" s="117" t="s">
        <v>3409</v>
      </c>
    </row>
    <row r="519" spans="1:7" x14ac:dyDescent="0.2">
      <c r="A519" s="124" t="s">
        <v>4448</v>
      </c>
      <c r="B519" s="64" t="s">
        <v>4439</v>
      </c>
      <c r="C519" s="116" t="s">
        <v>4441</v>
      </c>
      <c r="D519" s="123" t="s">
        <v>4443</v>
      </c>
      <c r="E519" s="125" t="s">
        <v>4449</v>
      </c>
      <c r="F519" s="125" t="s">
        <v>3409</v>
      </c>
      <c r="G519" s="132" t="s">
        <v>3409</v>
      </c>
    </row>
    <row r="520" spans="1:7" x14ac:dyDescent="0.25">
      <c r="A520" s="68" t="s">
        <v>4450</v>
      </c>
      <c r="B520" s="64" t="s">
        <v>4439</v>
      </c>
      <c r="C520" s="116" t="s">
        <v>4441</v>
      </c>
      <c r="D520" s="123" t="s">
        <v>4443</v>
      </c>
      <c r="E520" s="125" t="s">
        <v>4449</v>
      </c>
      <c r="F520" s="69" t="s">
        <v>4451</v>
      </c>
      <c r="G520" s="117" t="s">
        <v>3409</v>
      </c>
    </row>
    <row r="521" spans="1:7" x14ac:dyDescent="0.2">
      <c r="A521" s="68" t="s">
        <v>4452</v>
      </c>
      <c r="B521" s="64" t="s">
        <v>4439</v>
      </c>
      <c r="C521" s="116" t="s">
        <v>4441</v>
      </c>
      <c r="D521" s="123" t="s">
        <v>4443</v>
      </c>
      <c r="E521" s="125" t="s">
        <v>4449</v>
      </c>
      <c r="F521" s="69" t="s">
        <v>4453</v>
      </c>
      <c r="G521" s="118" t="s">
        <v>3409</v>
      </c>
    </row>
    <row r="522" spans="1:7" x14ac:dyDescent="0.25">
      <c r="A522" s="68" t="s">
        <v>4454</v>
      </c>
      <c r="B522" s="64" t="s">
        <v>4439</v>
      </c>
      <c r="C522" s="116" t="s">
        <v>4441</v>
      </c>
      <c r="D522" s="123" t="s">
        <v>4443</v>
      </c>
      <c r="E522" s="125" t="s">
        <v>4449</v>
      </c>
      <c r="F522" s="69" t="s">
        <v>4455</v>
      </c>
      <c r="G522" s="117" t="s">
        <v>3409</v>
      </c>
    </row>
    <row r="523" spans="1:7" x14ac:dyDescent="0.2">
      <c r="A523" s="68" t="s">
        <v>4456</v>
      </c>
      <c r="B523" s="64" t="s">
        <v>4439</v>
      </c>
      <c r="C523" s="116" t="s">
        <v>4441</v>
      </c>
      <c r="D523" s="123" t="s">
        <v>4443</v>
      </c>
      <c r="E523" s="125" t="s">
        <v>4449</v>
      </c>
      <c r="F523" s="69" t="s">
        <v>4457</v>
      </c>
      <c r="G523" s="118" t="s">
        <v>3409</v>
      </c>
    </row>
    <row r="524" spans="1:7" x14ac:dyDescent="0.25">
      <c r="A524" s="124" t="s">
        <v>4458</v>
      </c>
      <c r="B524" s="64" t="s">
        <v>4439</v>
      </c>
      <c r="C524" s="116" t="s">
        <v>4441</v>
      </c>
      <c r="D524" s="123" t="s">
        <v>4443</v>
      </c>
      <c r="E524" s="124" t="s">
        <v>4459</v>
      </c>
      <c r="F524" s="133" t="s">
        <v>3409</v>
      </c>
      <c r="G524" s="134" t="s">
        <v>3409</v>
      </c>
    </row>
    <row r="525" spans="1:7" x14ac:dyDescent="0.2">
      <c r="A525" s="68" t="s">
        <v>4460</v>
      </c>
      <c r="B525" s="64" t="s">
        <v>4439</v>
      </c>
      <c r="C525" s="116" t="s">
        <v>4441</v>
      </c>
      <c r="D525" s="123" t="s">
        <v>4443</v>
      </c>
      <c r="E525" s="124" t="s">
        <v>4459</v>
      </c>
      <c r="F525" s="69" t="s">
        <v>4461</v>
      </c>
      <c r="G525" s="118" t="s">
        <v>3409</v>
      </c>
    </row>
    <row r="526" spans="1:7" x14ac:dyDescent="0.25">
      <c r="A526" s="68" t="s">
        <v>4462</v>
      </c>
      <c r="B526" s="64" t="s">
        <v>4439</v>
      </c>
      <c r="C526" s="116" t="s">
        <v>4441</v>
      </c>
      <c r="D526" s="123" t="s">
        <v>4443</v>
      </c>
      <c r="E526" s="124" t="s">
        <v>4459</v>
      </c>
      <c r="F526" s="69" t="s">
        <v>4463</v>
      </c>
      <c r="G526" s="117" t="s">
        <v>3409</v>
      </c>
    </row>
    <row r="527" spans="1:7" x14ac:dyDescent="0.2">
      <c r="A527" s="68" t="s">
        <v>4464</v>
      </c>
      <c r="B527" s="64" t="s">
        <v>4439</v>
      </c>
      <c r="C527" s="116" t="s">
        <v>4441</v>
      </c>
      <c r="D527" s="123" t="s">
        <v>4443</v>
      </c>
      <c r="E527" s="124" t="s">
        <v>4459</v>
      </c>
      <c r="F527" s="69" t="s">
        <v>4465</v>
      </c>
      <c r="G527" s="118" t="s">
        <v>3409</v>
      </c>
    </row>
    <row r="528" spans="1:7" x14ac:dyDescent="0.25">
      <c r="A528" s="68" t="s">
        <v>4466</v>
      </c>
      <c r="B528" s="64" t="s">
        <v>4439</v>
      </c>
      <c r="C528" s="116" t="s">
        <v>4441</v>
      </c>
      <c r="D528" s="123" t="s">
        <v>4443</v>
      </c>
      <c r="E528" s="124" t="s">
        <v>4459</v>
      </c>
      <c r="F528" s="69" t="s">
        <v>4467</v>
      </c>
      <c r="G528" s="117" t="s">
        <v>3409</v>
      </c>
    </row>
    <row r="529" spans="1:7" x14ac:dyDescent="0.2">
      <c r="A529" s="124" t="s">
        <v>4468</v>
      </c>
      <c r="B529" s="64" t="s">
        <v>4439</v>
      </c>
      <c r="C529" s="116" t="s">
        <v>4441</v>
      </c>
      <c r="D529" s="123" t="s">
        <v>4443</v>
      </c>
      <c r="E529" s="124" t="s">
        <v>4469</v>
      </c>
      <c r="F529" s="135" t="s">
        <v>3409</v>
      </c>
      <c r="G529" s="132" t="s">
        <v>3409</v>
      </c>
    </row>
    <row r="530" spans="1:7" x14ac:dyDescent="0.25">
      <c r="A530" s="68" t="s">
        <v>4470</v>
      </c>
      <c r="B530" s="64" t="s">
        <v>4439</v>
      </c>
      <c r="C530" s="116" t="s">
        <v>4441</v>
      </c>
      <c r="D530" s="123" t="s">
        <v>4443</v>
      </c>
      <c r="E530" s="124" t="s">
        <v>4469</v>
      </c>
      <c r="F530" s="69" t="s">
        <v>4471</v>
      </c>
      <c r="G530" s="117" t="s">
        <v>3409</v>
      </c>
    </row>
    <row r="531" spans="1:7" x14ac:dyDescent="0.2">
      <c r="A531" s="68" t="s">
        <v>4472</v>
      </c>
      <c r="B531" s="64" t="s">
        <v>4439</v>
      </c>
      <c r="C531" s="116" t="s">
        <v>4441</v>
      </c>
      <c r="D531" s="123" t="s">
        <v>4443</v>
      </c>
      <c r="E531" s="124" t="s">
        <v>4469</v>
      </c>
      <c r="F531" s="69" t="s">
        <v>4473</v>
      </c>
      <c r="G531" s="118" t="s">
        <v>3409</v>
      </c>
    </row>
    <row r="532" spans="1:7" x14ac:dyDescent="0.2">
      <c r="A532" s="68" t="s">
        <v>4474</v>
      </c>
      <c r="B532" s="64" t="s">
        <v>4439</v>
      </c>
      <c r="C532" s="116" t="s">
        <v>4441</v>
      </c>
      <c r="D532" s="123" t="s">
        <v>4443</v>
      </c>
      <c r="E532" s="124" t="s">
        <v>4469</v>
      </c>
      <c r="F532" s="69" t="s">
        <v>4475</v>
      </c>
      <c r="G532" s="118" t="s">
        <v>3409</v>
      </c>
    </row>
    <row r="533" spans="1:7" x14ac:dyDescent="0.25">
      <c r="A533" s="68" t="s">
        <v>4476</v>
      </c>
      <c r="B533" s="64" t="s">
        <v>4439</v>
      </c>
      <c r="C533" s="116" t="s">
        <v>4441</v>
      </c>
      <c r="D533" s="123" t="s">
        <v>4443</v>
      </c>
      <c r="E533" s="124" t="s">
        <v>4469</v>
      </c>
      <c r="F533" s="69" t="s">
        <v>4477</v>
      </c>
      <c r="G533" s="117" t="s">
        <v>3409</v>
      </c>
    </row>
    <row r="534" spans="1:7" x14ac:dyDescent="0.2">
      <c r="A534" s="68" t="s">
        <v>4478</v>
      </c>
      <c r="B534" s="64" t="s">
        <v>4439</v>
      </c>
      <c r="C534" s="116" t="s">
        <v>4441</v>
      </c>
      <c r="D534" s="123" t="s">
        <v>4443</v>
      </c>
      <c r="E534" s="124" t="s">
        <v>4469</v>
      </c>
      <c r="F534" s="69" t="s">
        <v>4479</v>
      </c>
      <c r="G534" s="118" t="s">
        <v>3409</v>
      </c>
    </row>
    <row r="535" spans="1:7" x14ac:dyDescent="0.25">
      <c r="A535" s="68" t="s">
        <v>4480</v>
      </c>
      <c r="B535" s="64" t="s">
        <v>4439</v>
      </c>
      <c r="C535" s="116" t="s">
        <v>4441</v>
      </c>
      <c r="D535" s="123" t="s">
        <v>4443</v>
      </c>
      <c r="E535" s="124" t="s">
        <v>4469</v>
      </c>
      <c r="F535" s="69" t="s">
        <v>3862</v>
      </c>
      <c r="G535" s="117" t="s">
        <v>3409</v>
      </c>
    </row>
    <row r="536" spans="1:7" x14ac:dyDescent="0.2">
      <c r="A536" s="68" t="s">
        <v>4481</v>
      </c>
      <c r="B536" s="64" t="s">
        <v>4439</v>
      </c>
      <c r="C536" s="116" t="s">
        <v>4441</v>
      </c>
      <c r="D536" s="123" t="s">
        <v>4443</v>
      </c>
      <c r="E536" s="124" t="s">
        <v>4469</v>
      </c>
      <c r="F536" s="69" t="s">
        <v>4482</v>
      </c>
      <c r="G536" s="118" t="s">
        <v>3409</v>
      </c>
    </row>
    <row r="537" spans="1:7" x14ac:dyDescent="0.25">
      <c r="A537" s="68" t="s">
        <v>4483</v>
      </c>
      <c r="B537" s="64" t="s">
        <v>4439</v>
      </c>
      <c r="C537" s="116" t="s">
        <v>4441</v>
      </c>
      <c r="D537" s="123" t="s">
        <v>4443</v>
      </c>
      <c r="E537" s="124" t="s">
        <v>4469</v>
      </c>
      <c r="F537" s="69" t="s">
        <v>4484</v>
      </c>
      <c r="G537" s="117" t="s">
        <v>3409</v>
      </c>
    </row>
    <row r="538" spans="1:7" x14ac:dyDescent="0.25">
      <c r="A538" s="122" t="s">
        <v>4485</v>
      </c>
      <c r="B538" s="64" t="s">
        <v>4439</v>
      </c>
      <c r="C538" s="116" t="s">
        <v>4441</v>
      </c>
      <c r="D538" s="123" t="s">
        <v>4486</v>
      </c>
      <c r="E538" s="123" t="s">
        <v>3409</v>
      </c>
      <c r="F538" s="123" t="s">
        <v>3409</v>
      </c>
      <c r="G538" s="123" t="s">
        <v>3409</v>
      </c>
    </row>
    <row r="539" spans="1:7" x14ac:dyDescent="0.25">
      <c r="A539" s="68" t="s">
        <v>4487</v>
      </c>
      <c r="B539" s="64" t="s">
        <v>4439</v>
      </c>
      <c r="C539" s="116" t="s">
        <v>4441</v>
      </c>
      <c r="D539" s="123" t="s">
        <v>4486</v>
      </c>
      <c r="E539" s="68" t="s">
        <v>4488</v>
      </c>
      <c r="F539" s="71" t="s">
        <v>3409</v>
      </c>
      <c r="G539" s="117" t="s">
        <v>3409</v>
      </c>
    </row>
    <row r="540" spans="1:7" x14ac:dyDescent="0.2">
      <c r="A540" s="68" t="s">
        <v>4489</v>
      </c>
      <c r="B540" s="64" t="s">
        <v>4439</v>
      </c>
      <c r="C540" s="116" t="s">
        <v>4441</v>
      </c>
      <c r="D540" s="123" t="s">
        <v>4486</v>
      </c>
      <c r="E540" s="68" t="s">
        <v>4490</v>
      </c>
      <c r="F540" s="70" t="s">
        <v>3409</v>
      </c>
      <c r="G540" s="118" t="s">
        <v>3409</v>
      </c>
    </row>
    <row r="541" spans="1:7" x14ac:dyDescent="0.25">
      <c r="A541" s="115" t="s">
        <v>4491</v>
      </c>
      <c r="B541" s="64" t="s">
        <v>4439</v>
      </c>
      <c r="C541" s="116" t="s">
        <v>4492</v>
      </c>
      <c r="D541" s="116" t="s">
        <v>3409</v>
      </c>
      <c r="E541" s="116" t="s">
        <v>3409</v>
      </c>
      <c r="F541" s="116" t="s">
        <v>3409</v>
      </c>
      <c r="G541" s="116" t="s">
        <v>3409</v>
      </c>
    </row>
    <row r="542" spans="1:7" x14ac:dyDescent="0.25">
      <c r="A542" s="122" t="s">
        <v>4493</v>
      </c>
      <c r="B542" s="64" t="s">
        <v>4439</v>
      </c>
      <c r="C542" s="116" t="s">
        <v>4492</v>
      </c>
      <c r="D542" s="136" t="s">
        <v>4494</v>
      </c>
      <c r="E542" s="136" t="s">
        <v>3409</v>
      </c>
      <c r="F542" s="136" t="s">
        <v>3409</v>
      </c>
      <c r="G542" s="136" t="s">
        <v>3409</v>
      </c>
    </row>
    <row r="543" spans="1:7" x14ac:dyDescent="0.25">
      <c r="A543" s="124" t="s">
        <v>4495</v>
      </c>
      <c r="B543" s="64" t="s">
        <v>4439</v>
      </c>
      <c r="C543" s="116" t="s">
        <v>4492</v>
      </c>
      <c r="D543" s="136" t="s">
        <v>4496</v>
      </c>
      <c r="E543" s="125" t="s">
        <v>4497</v>
      </c>
      <c r="F543" s="125" t="s">
        <v>3409</v>
      </c>
      <c r="G543" s="125" t="s">
        <v>3409</v>
      </c>
    </row>
    <row r="544" spans="1:7" x14ac:dyDescent="0.25">
      <c r="A544" s="68" t="s">
        <v>4498</v>
      </c>
      <c r="B544" s="64" t="s">
        <v>4439</v>
      </c>
      <c r="C544" s="116" t="s">
        <v>4492</v>
      </c>
      <c r="D544" s="136" t="s">
        <v>4499</v>
      </c>
      <c r="E544" s="125" t="s">
        <v>4497</v>
      </c>
      <c r="F544" s="73" t="s">
        <v>4500</v>
      </c>
      <c r="G544" s="117" t="s">
        <v>3409</v>
      </c>
    </row>
    <row r="545" spans="1:7" x14ac:dyDescent="0.25">
      <c r="A545" s="68" t="s">
        <v>4501</v>
      </c>
      <c r="B545" s="64" t="s">
        <v>4439</v>
      </c>
      <c r="C545" s="116" t="s">
        <v>4492</v>
      </c>
      <c r="D545" s="136" t="s">
        <v>4502</v>
      </c>
      <c r="E545" s="125" t="s">
        <v>4497</v>
      </c>
      <c r="F545" s="73" t="s">
        <v>4503</v>
      </c>
      <c r="G545" s="117" t="s">
        <v>3409</v>
      </c>
    </row>
    <row r="546" spans="1:7" x14ac:dyDescent="0.25">
      <c r="A546" s="68" t="s">
        <v>4504</v>
      </c>
      <c r="B546" s="64" t="s">
        <v>4439</v>
      </c>
      <c r="C546" s="116" t="s">
        <v>4492</v>
      </c>
      <c r="D546" s="136" t="s">
        <v>4505</v>
      </c>
      <c r="E546" s="125" t="s">
        <v>4497</v>
      </c>
      <c r="F546" s="73" t="s">
        <v>4506</v>
      </c>
      <c r="G546" s="117" t="s">
        <v>3409</v>
      </c>
    </row>
    <row r="547" spans="1:7" x14ac:dyDescent="0.25">
      <c r="A547" s="120" t="s">
        <v>4507</v>
      </c>
      <c r="B547" s="64" t="s">
        <v>4439</v>
      </c>
      <c r="C547" s="116" t="s">
        <v>4492</v>
      </c>
      <c r="D547" s="136" t="s">
        <v>4508</v>
      </c>
      <c r="E547" s="125" t="s">
        <v>4497</v>
      </c>
      <c r="F547" s="69" t="s">
        <v>4509</v>
      </c>
      <c r="G547" s="117" t="s">
        <v>3409</v>
      </c>
    </row>
    <row r="548" spans="1:7" x14ac:dyDescent="0.25">
      <c r="A548" s="120" t="s">
        <v>4510</v>
      </c>
      <c r="B548" s="64" t="s">
        <v>4439</v>
      </c>
      <c r="C548" s="116" t="s">
        <v>4492</v>
      </c>
      <c r="D548" s="136" t="s">
        <v>4511</v>
      </c>
      <c r="E548" s="125" t="s">
        <v>4497</v>
      </c>
      <c r="F548" s="69" t="s">
        <v>4512</v>
      </c>
      <c r="G548" s="117" t="s">
        <v>3409</v>
      </c>
    </row>
    <row r="549" spans="1:7" x14ac:dyDescent="0.25">
      <c r="A549" s="68" t="s">
        <v>4513</v>
      </c>
      <c r="B549" s="64" t="s">
        <v>4439</v>
      </c>
      <c r="C549" s="116" t="s">
        <v>4492</v>
      </c>
      <c r="D549" s="136" t="s">
        <v>4514</v>
      </c>
      <c r="E549" s="125" t="s">
        <v>4497</v>
      </c>
      <c r="F549" s="73" t="s">
        <v>4515</v>
      </c>
      <c r="G549" s="117" t="s">
        <v>3409</v>
      </c>
    </row>
    <row r="550" spans="1:7" x14ac:dyDescent="0.25">
      <c r="A550" s="68" t="s">
        <v>4516</v>
      </c>
      <c r="B550" s="64" t="s">
        <v>4439</v>
      </c>
      <c r="C550" s="116" t="s">
        <v>4492</v>
      </c>
      <c r="D550" s="136" t="s">
        <v>4517</v>
      </c>
      <c r="E550" s="125" t="s">
        <v>4497</v>
      </c>
      <c r="F550" s="73" t="s">
        <v>4518</v>
      </c>
      <c r="G550" s="117" t="s">
        <v>3409</v>
      </c>
    </row>
    <row r="551" spans="1:7" x14ac:dyDescent="0.25">
      <c r="A551" s="68" t="s">
        <v>4519</v>
      </c>
      <c r="B551" s="64" t="s">
        <v>4439</v>
      </c>
      <c r="C551" s="116" t="s">
        <v>4492</v>
      </c>
      <c r="D551" s="136" t="s">
        <v>4520</v>
      </c>
      <c r="E551" s="125" t="s">
        <v>4497</v>
      </c>
      <c r="F551" s="73" t="s">
        <v>4521</v>
      </c>
      <c r="G551" s="117" t="s">
        <v>3409</v>
      </c>
    </row>
    <row r="552" spans="1:7" x14ac:dyDescent="0.25">
      <c r="A552" s="124" t="s">
        <v>4522</v>
      </c>
      <c r="B552" s="64" t="s">
        <v>4439</v>
      </c>
      <c r="C552" s="116" t="s">
        <v>4492</v>
      </c>
      <c r="D552" s="136" t="s">
        <v>4523</v>
      </c>
      <c r="E552" s="125" t="s">
        <v>4524</v>
      </c>
      <c r="F552" s="125" t="s">
        <v>3409</v>
      </c>
      <c r="G552" s="125" t="s">
        <v>3409</v>
      </c>
    </row>
    <row r="553" spans="1:7" x14ac:dyDescent="0.25">
      <c r="A553" s="120" t="s">
        <v>4525</v>
      </c>
      <c r="B553" s="64" t="s">
        <v>4439</v>
      </c>
      <c r="C553" s="116" t="s">
        <v>4492</v>
      </c>
      <c r="D553" s="136" t="s">
        <v>4526</v>
      </c>
      <c r="E553" s="125" t="s">
        <v>4524</v>
      </c>
      <c r="F553" s="69" t="s">
        <v>4527</v>
      </c>
      <c r="G553" s="117" t="s">
        <v>3409</v>
      </c>
    </row>
    <row r="554" spans="1:7" x14ac:dyDescent="0.25">
      <c r="A554" s="68" t="s">
        <v>4528</v>
      </c>
      <c r="B554" s="64" t="s">
        <v>4439</v>
      </c>
      <c r="C554" s="116" t="s">
        <v>4492</v>
      </c>
      <c r="D554" s="136" t="s">
        <v>4529</v>
      </c>
      <c r="E554" s="125" t="s">
        <v>4524</v>
      </c>
      <c r="F554" s="73" t="s">
        <v>4530</v>
      </c>
      <c r="G554" s="117" t="s">
        <v>3409</v>
      </c>
    </row>
    <row r="555" spans="1:7" x14ac:dyDescent="0.25">
      <c r="A555" s="68" t="s">
        <v>4531</v>
      </c>
      <c r="B555" s="64" t="s">
        <v>4439</v>
      </c>
      <c r="C555" s="116" t="s">
        <v>4492</v>
      </c>
      <c r="D555" s="136" t="s">
        <v>4532</v>
      </c>
      <c r="E555" s="125" t="s">
        <v>4524</v>
      </c>
      <c r="F555" s="73" t="s">
        <v>4533</v>
      </c>
      <c r="G555" s="117" t="s">
        <v>3409</v>
      </c>
    </row>
    <row r="556" spans="1:7" x14ac:dyDescent="0.25">
      <c r="A556" s="120" t="s">
        <v>4534</v>
      </c>
      <c r="B556" s="64" t="s">
        <v>4439</v>
      </c>
      <c r="C556" s="116" t="s">
        <v>4492</v>
      </c>
      <c r="D556" s="136" t="s">
        <v>4535</v>
      </c>
      <c r="E556" s="125" t="s">
        <v>4524</v>
      </c>
      <c r="F556" s="69" t="s">
        <v>4536</v>
      </c>
      <c r="G556" s="117" t="s">
        <v>3409</v>
      </c>
    </row>
    <row r="557" spans="1:7" x14ac:dyDescent="0.25">
      <c r="A557" s="124" t="s">
        <v>4537</v>
      </c>
      <c r="B557" s="64" t="s">
        <v>4439</v>
      </c>
      <c r="C557" s="116" t="s">
        <v>4492</v>
      </c>
      <c r="D557" s="136" t="s">
        <v>4538</v>
      </c>
      <c r="E557" s="125" t="s">
        <v>4539</v>
      </c>
      <c r="F557" s="125" t="s">
        <v>3409</v>
      </c>
      <c r="G557" s="125" t="s">
        <v>3409</v>
      </c>
    </row>
    <row r="558" spans="1:7" x14ac:dyDescent="0.25">
      <c r="A558" s="120" t="s">
        <v>4540</v>
      </c>
      <c r="B558" s="64" t="s">
        <v>4439</v>
      </c>
      <c r="C558" s="116" t="s">
        <v>4492</v>
      </c>
      <c r="D558" s="136" t="s">
        <v>4541</v>
      </c>
      <c r="E558" s="125" t="s">
        <v>4539</v>
      </c>
      <c r="F558" s="73" t="s">
        <v>4542</v>
      </c>
      <c r="G558" s="117" t="s">
        <v>3409</v>
      </c>
    </row>
    <row r="559" spans="1:7" x14ac:dyDescent="0.25">
      <c r="A559" s="68" t="s">
        <v>4543</v>
      </c>
      <c r="B559" s="64" t="s">
        <v>4439</v>
      </c>
      <c r="C559" s="116" t="s">
        <v>4492</v>
      </c>
      <c r="D559" s="136" t="s">
        <v>4544</v>
      </c>
      <c r="E559" s="125" t="s">
        <v>4539</v>
      </c>
      <c r="F559" s="73" t="s">
        <v>4545</v>
      </c>
      <c r="G559" s="117" t="s">
        <v>3409</v>
      </c>
    </row>
    <row r="560" spans="1:7" x14ac:dyDescent="0.25">
      <c r="A560" s="68" t="s">
        <v>4546</v>
      </c>
      <c r="B560" s="64" t="s">
        <v>4439</v>
      </c>
      <c r="C560" s="116" t="s">
        <v>4492</v>
      </c>
      <c r="D560" s="136" t="s">
        <v>4547</v>
      </c>
      <c r="E560" s="125" t="s">
        <v>4539</v>
      </c>
      <c r="F560" s="73" t="s">
        <v>4548</v>
      </c>
      <c r="G560" s="117" t="s">
        <v>3409</v>
      </c>
    </row>
    <row r="561" spans="1:7" x14ac:dyDescent="0.25">
      <c r="A561" s="120" t="s">
        <v>4549</v>
      </c>
      <c r="B561" s="64" t="s">
        <v>4439</v>
      </c>
      <c r="C561" s="116" t="s">
        <v>4492</v>
      </c>
      <c r="D561" s="136" t="s">
        <v>4550</v>
      </c>
      <c r="E561" s="125" t="s">
        <v>4539</v>
      </c>
      <c r="F561" s="69" t="s">
        <v>4551</v>
      </c>
      <c r="G561" s="117" t="s">
        <v>3409</v>
      </c>
    </row>
    <row r="562" spans="1:7" x14ac:dyDescent="0.25">
      <c r="A562" s="120" t="s">
        <v>4552</v>
      </c>
      <c r="B562" s="64" t="s">
        <v>4439</v>
      </c>
      <c r="C562" s="116" t="s">
        <v>4492</v>
      </c>
      <c r="D562" s="136" t="s">
        <v>4553</v>
      </c>
      <c r="E562" s="125" t="s">
        <v>4539</v>
      </c>
      <c r="F562" s="69" t="s">
        <v>4554</v>
      </c>
      <c r="G562" s="117" t="s">
        <v>3409</v>
      </c>
    </row>
    <row r="563" spans="1:7" x14ac:dyDescent="0.25">
      <c r="A563" s="120" t="s">
        <v>4555</v>
      </c>
      <c r="B563" s="64" t="s">
        <v>4439</v>
      </c>
      <c r="C563" s="116" t="s">
        <v>4492</v>
      </c>
      <c r="D563" s="136" t="s">
        <v>4556</v>
      </c>
      <c r="E563" s="125" t="s">
        <v>4539</v>
      </c>
      <c r="F563" s="73" t="s">
        <v>4557</v>
      </c>
      <c r="G563" s="117" t="s">
        <v>3409</v>
      </c>
    </row>
    <row r="564" spans="1:7" x14ac:dyDescent="0.25">
      <c r="A564" s="120" t="s">
        <v>4558</v>
      </c>
      <c r="B564" s="64" t="s">
        <v>4439</v>
      </c>
      <c r="C564" s="116" t="s">
        <v>4492</v>
      </c>
      <c r="D564" s="136" t="s">
        <v>4559</v>
      </c>
      <c r="E564" s="125" t="s">
        <v>4539</v>
      </c>
      <c r="F564" s="69" t="s">
        <v>4560</v>
      </c>
      <c r="G564" s="117" t="s">
        <v>3409</v>
      </c>
    </row>
    <row r="565" spans="1:7" x14ac:dyDescent="0.25">
      <c r="A565" s="120" t="s">
        <v>4561</v>
      </c>
      <c r="B565" s="64" t="s">
        <v>4439</v>
      </c>
      <c r="C565" s="116" t="s">
        <v>4492</v>
      </c>
      <c r="D565" s="136" t="s">
        <v>4562</v>
      </c>
      <c r="E565" s="125" t="s">
        <v>4539</v>
      </c>
      <c r="F565" s="69" t="s">
        <v>4563</v>
      </c>
      <c r="G565" s="117" t="s">
        <v>3409</v>
      </c>
    </row>
    <row r="566" spans="1:7" x14ac:dyDescent="0.25">
      <c r="A566" s="122" t="s">
        <v>4564</v>
      </c>
      <c r="B566" s="64" t="s">
        <v>4439</v>
      </c>
      <c r="C566" s="116" t="s">
        <v>4492</v>
      </c>
      <c r="D566" s="123" t="s">
        <v>4565</v>
      </c>
      <c r="E566" s="123" t="s">
        <v>3409</v>
      </c>
      <c r="F566" s="123" t="s">
        <v>3409</v>
      </c>
      <c r="G566" s="123" t="s">
        <v>3409</v>
      </c>
    </row>
    <row r="567" spans="1:7" x14ac:dyDescent="0.25">
      <c r="A567" s="68" t="s">
        <v>4566</v>
      </c>
      <c r="B567" s="64" t="s">
        <v>4439</v>
      </c>
      <c r="C567" s="116" t="s">
        <v>4492</v>
      </c>
      <c r="D567" s="123" t="s">
        <v>4565</v>
      </c>
      <c r="E567" s="121" t="s">
        <v>4567</v>
      </c>
      <c r="F567" s="71" t="s">
        <v>3409</v>
      </c>
      <c r="G567" s="117" t="s">
        <v>3409</v>
      </c>
    </row>
    <row r="568" spans="1:7" x14ac:dyDescent="0.25">
      <c r="A568" s="68" t="s">
        <v>4568</v>
      </c>
      <c r="B568" s="64" t="s">
        <v>4439</v>
      </c>
      <c r="C568" s="116" t="s">
        <v>4492</v>
      </c>
      <c r="D568" s="123" t="s">
        <v>4565</v>
      </c>
      <c r="E568" s="121" t="s">
        <v>4569</v>
      </c>
      <c r="F568" s="71" t="s">
        <v>3409</v>
      </c>
      <c r="G568" s="117" t="s">
        <v>3409</v>
      </c>
    </row>
    <row r="569" spans="1:7" x14ac:dyDescent="0.25">
      <c r="A569" s="115" t="s">
        <v>4570</v>
      </c>
      <c r="B569" s="64" t="s">
        <v>4439</v>
      </c>
      <c r="C569" s="116" t="s">
        <v>4571</v>
      </c>
      <c r="D569" s="116" t="s">
        <v>3409</v>
      </c>
      <c r="E569" s="116" t="s">
        <v>3409</v>
      </c>
      <c r="F569" s="116" t="s">
        <v>3409</v>
      </c>
      <c r="G569" s="116" t="s">
        <v>3409</v>
      </c>
    </row>
    <row r="570" spans="1:7" x14ac:dyDescent="0.25">
      <c r="A570" s="122" t="s">
        <v>4572</v>
      </c>
      <c r="B570" s="64" t="s">
        <v>4439</v>
      </c>
      <c r="C570" s="116" t="s">
        <v>4571</v>
      </c>
      <c r="D570" s="123" t="s">
        <v>4573</v>
      </c>
      <c r="E570" s="123" t="s">
        <v>3409</v>
      </c>
      <c r="F570" s="123" t="s">
        <v>3409</v>
      </c>
      <c r="G570" s="123" t="s">
        <v>3409</v>
      </c>
    </row>
    <row r="571" spans="1:7" x14ac:dyDescent="0.25">
      <c r="A571" s="68" t="s">
        <v>4574</v>
      </c>
      <c r="B571" s="64" t="s">
        <v>4439</v>
      </c>
      <c r="C571" s="116" t="s">
        <v>4571</v>
      </c>
      <c r="D571" s="123" t="s">
        <v>4575</v>
      </c>
      <c r="E571" s="121" t="s">
        <v>4576</v>
      </c>
      <c r="F571" s="71" t="s">
        <v>3409</v>
      </c>
      <c r="G571" s="117" t="s">
        <v>3409</v>
      </c>
    </row>
    <row r="572" spans="1:7" x14ac:dyDescent="0.25">
      <c r="A572" s="68" t="s">
        <v>4577</v>
      </c>
      <c r="B572" s="64" t="s">
        <v>4439</v>
      </c>
      <c r="C572" s="116" t="s">
        <v>4571</v>
      </c>
      <c r="D572" s="123" t="s">
        <v>4578</v>
      </c>
      <c r="E572" s="121" t="s">
        <v>4579</v>
      </c>
      <c r="F572" s="71" t="s">
        <v>3409</v>
      </c>
      <c r="G572" s="117" t="s">
        <v>3409</v>
      </c>
    </row>
    <row r="573" spans="1:7" x14ac:dyDescent="0.25">
      <c r="A573" s="115" t="s">
        <v>4580</v>
      </c>
      <c r="B573" s="64" t="s">
        <v>4439</v>
      </c>
      <c r="C573" s="116" t="s">
        <v>4581</v>
      </c>
      <c r="D573" s="116" t="s">
        <v>3409</v>
      </c>
      <c r="E573" s="116" t="s">
        <v>3409</v>
      </c>
      <c r="F573" s="116" t="s">
        <v>3409</v>
      </c>
      <c r="G573" s="116" t="s">
        <v>3409</v>
      </c>
    </row>
    <row r="574" spans="1:7" x14ac:dyDescent="0.25">
      <c r="A574" s="122" t="s">
        <v>4582</v>
      </c>
      <c r="B574" s="64" t="s">
        <v>4439</v>
      </c>
      <c r="C574" s="116" t="s">
        <v>4581</v>
      </c>
      <c r="D574" s="123" t="s">
        <v>4583</v>
      </c>
      <c r="E574" s="123" t="s">
        <v>3409</v>
      </c>
      <c r="F574" s="123" t="s">
        <v>3409</v>
      </c>
      <c r="G574" s="123" t="s">
        <v>3409</v>
      </c>
    </row>
    <row r="575" spans="1:7" x14ac:dyDescent="0.25">
      <c r="A575" s="68" t="s">
        <v>4584</v>
      </c>
      <c r="B575" s="64" t="s">
        <v>4439</v>
      </c>
      <c r="C575" s="116" t="s">
        <v>4581</v>
      </c>
      <c r="D575" s="123" t="s">
        <v>4583</v>
      </c>
      <c r="E575" s="68" t="s">
        <v>4585</v>
      </c>
      <c r="F575" s="71" t="s">
        <v>3409</v>
      </c>
      <c r="G575" s="71" t="s">
        <v>3409</v>
      </c>
    </row>
    <row r="576" spans="1:7" x14ac:dyDescent="0.2">
      <c r="A576" s="68" t="s">
        <v>4586</v>
      </c>
      <c r="B576" s="64" t="s">
        <v>4439</v>
      </c>
      <c r="C576" s="116" t="s">
        <v>4581</v>
      </c>
      <c r="D576" s="123" t="s">
        <v>4583</v>
      </c>
      <c r="E576" s="68" t="s">
        <v>4587</v>
      </c>
      <c r="F576" s="70" t="s">
        <v>3409</v>
      </c>
      <c r="G576" s="70" t="s">
        <v>3409</v>
      </c>
    </row>
    <row r="577" spans="1:7" x14ac:dyDescent="0.25">
      <c r="A577" s="68" t="s">
        <v>4588</v>
      </c>
      <c r="B577" s="64" t="s">
        <v>4439</v>
      </c>
      <c r="C577" s="116" t="s">
        <v>4581</v>
      </c>
      <c r="D577" s="123" t="s">
        <v>4583</v>
      </c>
      <c r="E577" s="68" t="s">
        <v>4589</v>
      </c>
      <c r="F577" s="71" t="s">
        <v>3409</v>
      </c>
      <c r="G577" s="71" t="s">
        <v>3409</v>
      </c>
    </row>
    <row r="578" spans="1:7" x14ac:dyDescent="0.25">
      <c r="A578" s="122" t="s">
        <v>4590</v>
      </c>
      <c r="B578" s="64" t="s">
        <v>4439</v>
      </c>
      <c r="C578" s="116" t="s">
        <v>4581</v>
      </c>
      <c r="D578" s="123" t="s">
        <v>4591</v>
      </c>
      <c r="E578" s="123" t="s">
        <v>3409</v>
      </c>
      <c r="F578" s="123" t="s">
        <v>3409</v>
      </c>
      <c r="G578" s="123" t="s">
        <v>3409</v>
      </c>
    </row>
    <row r="579" spans="1:7" x14ac:dyDescent="0.25">
      <c r="A579" s="68" t="s">
        <v>4592</v>
      </c>
      <c r="B579" s="64" t="s">
        <v>4439</v>
      </c>
      <c r="C579" s="116" t="s">
        <v>4581</v>
      </c>
      <c r="D579" s="123" t="s">
        <v>4591</v>
      </c>
      <c r="E579" s="68" t="s">
        <v>4593</v>
      </c>
      <c r="F579" s="71" t="s">
        <v>3409</v>
      </c>
      <c r="G579" s="71" t="s">
        <v>3409</v>
      </c>
    </row>
    <row r="580" spans="1:7" x14ac:dyDescent="0.2">
      <c r="A580" s="68" t="s">
        <v>4594</v>
      </c>
      <c r="B580" s="64" t="s">
        <v>4439</v>
      </c>
      <c r="C580" s="116" t="s">
        <v>4581</v>
      </c>
      <c r="D580" s="123" t="s">
        <v>4591</v>
      </c>
      <c r="E580" s="68" t="s">
        <v>4595</v>
      </c>
      <c r="F580" s="70" t="s">
        <v>3409</v>
      </c>
      <c r="G580" s="70" t="s">
        <v>3409</v>
      </c>
    </row>
    <row r="581" spans="1:7" x14ac:dyDescent="0.25">
      <c r="A581" s="68" t="s">
        <v>4596</v>
      </c>
      <c r="B581" s="64" t="s">
        <v>4439</v>
      </c>
      <c r="C581" s="116" t="s">
        <v>4581</v>
      </c>
      <c r="D581" s="123" t="s">
        <v>4591</v>
      </c>
      <c r="E581" s="68" t="s">
        <v>4597</v>
      </c>
      <c r="F581" s="71" t="s">
        <v>3409</v>
      </c>
      <c r="G581" s="71" t="s">
        <v>3409</v>
      </c>
    </row>
    <row r="582" spans="1:7" x14ac:dyDescent="0.2">
      <c r="A582" s="68" t="s">
        <v>4598</v>
      </c>
      <c r="B582" s="64" t="s">
        <v>4439</v>
      </c>
      <c r="C582" s="116" t="s">
        <v>4581</v>
      </c>
      <c r="D582" s="123" t="s">
        <v>4591</v>
      </c>
      <c r="E582" s="68" t="s">
        <v>4599</v>
      </c>
      <c r="F582" s="70" t="s">
        <v>3409</v>
      </c>
      <c r="G582" s="70" t="s">
        <v>3409</v>
      </c>
    </row>
    <row r="583" spans="1:7" x14ac:dyDescent="0.25">
      <c r="A583" s="122" t="s">
        <v>4600</v>
      </c>
      <c r="B583" s="64" t="s">
        <v>4439</v>
      </c>
      <c r="C583" s="116" t="s">
        <v>4581</v>
      </c>
      <c r="D583" s="123" t="s">
        <v>4601</v>
      </c>
      <c r="E583" s="123" t="s">
        <v>3409</v>
      </c>
      <c r="F583" s="123" t="s">
        <v>3409</v>
      </c>
      <c r="G583" s="123" t="s">
        <v>3409</v>
      </c>
    </row>
    <row r="584" spans="1:7" x14ac:dyDescent="0.2">
      <c r="A584" s="68" t="s">
        <v>4602</v>
      </c>
      <c r="B584" s="64" t="s">
        <v>4439</v>
      </c>
      <c r="C584" s="116" t="s">
        <v>4581</v>
      </c>
      <c r="D584" s="123" t="s">
        <v>4601</v>
      </c>
      <c r="E584" s="68" t="s">
        <v>4603</v>
      </c>
      <c r="F584" s="70" t="s">
        <v>3409</v>
      </c>
      <c r="G584" s="70" t="s">
        <v>3409</v>
      </c>
    </row>
    <row r="585" spans="1:7" x14ac:dyDescent="0.25">
      <c r="A585" s="68" t="s">
        <v>4604</v>
      </c>
      <c r="B585" s="64" t="s">
        <v>4439</v>
      </c>
      <c r="C585" s="116" t="s">
        <v>4581</v>
      </c>
      <c r="D585" s="123" t="s">
        <v>4601</v>
      </c>
      <c r="E585" s="69" t="s">
        <v>3409</v>
      </c>
      <c r="F585" s="69" t="s">
        <v>3409</v>
      </c>
      <c r="G585" s="69" t="s">
        <v>3409</v>
      </c>
    </row>
    <row r="586" spans="1:7" x14ac:dyDescent="0.25">
      <c r="A586" s="122" t="s">
        <v>4605</v>
      </c>
      <c r="B586" s="64" t="s">
        <v>4439</v>
      </c>
      <c r="C586" s="116" t="s">
        <v>4581</v>
      </c>
      <c r="D586" s="123" t="s">
        <v>4606</v>
      </c>
      <c r="E586" s="123" t="s">
        <v>3409</v>
      </c>
      <c r="F586" s="123" t="s">
        <v>3409</v>
      </c>
      <c r="G586" s="123" t="s">
        <v>3409</v>
      </c>
    </row>
    <row r="587" spans="1:7" x14ac:dyDescent="0.25">
      <c r="A587" s="124" t="s">
        <v>4607</v>
      </c>
      <c r="B587" s="64" t="s">
        <v>4439</v>
      </c>
      <c r="C587" s="116" t="s">
        <v>4581</v>
      </c>
      <c r="D587" s="123" t="s">
        <v>4606</v>
      </c>
      <c r="E587" s="125" t="s">
        <v>4608</v>
      </c>
      <c r="F587" s="125" t="s">
        <v>3409</v>
      </c>
      <c r="G587" s="125" t="s">
        <v>3409</v>
      </c>
    </row>
    <row r="588" spans="1:7" x14ac:dyDescent="0.25">
      <c r="A588" s="68" t="s">
        <v>4609</v>
      </c>
      <c r="B588" s="64" t="s">
        <v>4439</v>
      </c>
      <c r="C588" s="116" t="s">
        <v>4581</v>
      </c>
      <c r="D588" s="123" t="s">
        <v>4606</v>
      </c>
      <c r="E588" s="125" t="s">
        <v>4608</v>
      </c>
      <c r="F588" s="69" t="s">
        <v>4610</v>
      </c>
      <c r="G588" s="117" t="s">
        <v>3409</v>
      </c>
    </row>
    <row r="589" spans="1:7" x14ac:dyDescent="0.2">
      <c r="A589" s="68" t="s">
        <v>4611</v>
      </c>
      <c r="B589" s="64" t="s">
        <v>4439</v>
      </c>
      <c r="C589" s="116" t="s">
        <v>4581</v>
      </c>
      <c r="D589" s="123" t="s">
        <v>4606</v>
      </c>
      <c r="E589" s="125" t="s">
        <v>4608</v>
      </c>
      <c r="F589" s="69" t="s">
        <v>4612</v>
      </c>
      <c r="G589" s="118" t="s">
        <v>3409</v>
      </c>
    </row>
    <row r="590" spans="1:7" x14ac:dyDescent="0.25">
      <c r="A590" s="68" t="s">
        <v>4613</v>
      </c>
      <c r="B590" s="64" t="s">
        <v>4439</v>
      </c>
      <c r="C590" s="116" t="s">
        <v>4581</v>
      </c>
      <c r="D590" s="123" t="s">
        <v>4606</v>
      </c>
      <c r="E590" s="125" t="s">
        <v>4608</v>
      </c>
      <c r="F590" s="69" t="s">
        <v>4614</v>
      </c>
      <c r="G590" s="117" t="s">
        <v>3409</v>
      </c>
    </row>
    <row r="591" spans="1:7" x14ac:dyDescent="0.2">
      <c r="A591" s="68" t="s">
        <v>4615</v>
      </c>
      <c r="B591" s="64" t="s">
        <v>4439</v>
      </c>
      <c r="C591" s="116" t="s">
        <v>4581</v>
      </c>
      <c r="D591" s="123" t="s">
        <v>4606</v>
      </c>
      <c r="E591" s="125" t="s">
        <v>4608</v>
      </c>
      <c r="F591" s="69" t="s">
        <v>4616</v>
      </c>
      <c r="G591" s="118" t="s">
        <v>3409</v>
      </c>
    </row>
    <row r="592" spans="1:7" x14ac:dyDescent="0.25">
      <c r="A592" s="68" t="s">
        <v>4617</v>
      </c>
      <c r="B592" s="64" t="s">
        <v>4439</v>
      </c>
      <c r="C592" s="116" t="s">
        <v>4581</v>
      </c>
      <c r="D592" s="123" t="s">
        <v>4606</v>
      </c>
      <c r="E592" s="125" t="s">
        <v>4608</v>
      </c>
      <c r="F592" s="69" t="s">
        <v>4618</v>
      </c>
      <c r="G592" s="117" t="s">
        <v>3409</v>
      </c>
    </row>
    <row r="593" spans="1:7" x14ac:dyDescent="0.2">
      <c r="A593" s="68" t="s">
        <v>4619</v>
      </c>
      <c r="B593" s="64" t="s">
        <v>4439</v>
      </c>
      <c r="C593" s="116" t="s">
        <v>4581</v>
      </c>
      <c r="D593" s="123" t="s">
        <v>4606</v>
      </c>
      <c r="E593" s="125" t="s">
        <v>4608</v>
      </c>
      <c r="F593" s="69" t="s">
        <v>4620</v>
      </c>
      <c r="G593" s="118" t="s">
        <v>3409</v>
      </c>
    </row>
    <row r="594" spans="1:7" x14ac:dyDescent="0.25">
      <c r="A594" s="68" t="s">
        <v>4621</v>
      </c>
      <c r="B594" s="64" t="s">
        <v>4439</v>
      </c>
      <c r="C594" s="116" t="s">
        <v>4581</v>
      </c>
      <c r="D594" s="123" t="s">
        <v>4606</v>
      </c>
      <c r="E594" s="125" t="s">
        <v>4608</v>
      </c>
      <c r="F594" s="69" t="s">
        <v>4622</v>
      </c>
      <c r="G594" s="117" t="s">
        <v>3409</v>
      </c>
    </row>
    <row r="595" spans="1:7" x14ac:dyDescent="0.25">
      <c r="A595" s="122" t="s">
        <v>4623</v>
      </c>
      <c r="B595" s="64" t="s">
        <v>4439</v>
      </c>
      <c r="C595" s="116" t="s">
        <v>4581</v>
      </c>
      <c r="D595" s="123" t="s">
        <v>4624</v>
      </c>
      <c r="E595" s="123" t="s">
        <v>3409</v>
      </c>
      <c r="F595" s="123" t="s">
        <v>3409</v>
      </c>
      <c r="G595" s="123" t="s">
        <v>3409</v>
      </c>
    </row>
    <row r="596" spans="1:7" x14ac:dyDescent="0.25">
      <c r="A596" s="68" t="s">
        <v>4625</v>
      </c>
      <c r="B596" s="64" t="s">
        <v>4439</v>
      </c>
      <c r="C596" s="116" t="s">
        <v>4581</v>
      </c>
      <c r="D596" s="123" t="s">
        <v>4624</v>
      </c>
      <c r="E596" s="68" t="s">
        <v>4626</v>
      </c>
      <c r="F596" s="71" t="s">
        <v>3409</v>
      </c>
      <c r="G596" s="71" t="s">
        <v>3409</v>
      </c>
    </row>
    <row r="597" spans="1:7" x14ac:dyDescent="0.2">
      <c r="A597" s="68" t="s">
        <v>4627</v>
      </c>
      <c r="B597" s="64" t="s">
        <v>4439</v>
      </c>
      <c r="C597" s="116" t="s">
        <v>4581</v>
      </c>
      <c r="D597" s="123" t="s">
        <v>4624</v>
      </c>
      <c r="E597" s="68" t="s">
        <v>4628</v>
      </c>
      <c r="F597" s="70" t="s">
        <v>3409</v>
      </c>
      <c r="G597" s="70" t="s">
        <v>3409</v>
      </c>
    </row>
    <row r="598" spans="1:7" x14ac:dyDescent="0.25">
      <c r="A598" s="68" t="s">
        <v>4629</v>
      </c>
      <c r="B598" s="64" t="s">
        <v>4439</v>
      </c>
      <c r="C598" s="116" t="s">
        <v>4581</v>
      </c>
      <c r="D598" s="123" t="s">
        <v>4624</v>
      </c>
      <c r="E598" s="68" t="s">
        <v>4630</v>
      </c>
      <c r="F598" s="71" t="s">
        <v>3409</v>
      </c>
      <c r="G598" s="71" t="s">
        <v>3409</v>
      </c>
    </row>
    <row r="599" spans="1:7" x14ac:dyDescent="0.2">
      <c r="A599" s="68" t="s">
        <v>4631</v>
      </c>
      <c r="B599" s="64" t="s">
        <v>4439</v>
      </c>
      <c r="C599" s="116" t="s">
        <v>4581</v>
      </c>
      <c r="D599" s="123" t="s">
        <v>4624</v>
      </c>
      <c r="E599" s="68" t="s">
        <v>4632</v>
      </c>
      <c r="F599" s="70" t="s">
        <v>3409</v>
      </c>
      <c r="G599" s="70" t="s">
        <v>3409</v>
      </c>
    </row>
    <row r="600" spans="1:7" x14ac:dyDescent="0.25">
      <c r="A600" s="122" t="s">
        <v>4633</v>
      </c>
      <c r="B600" s="64" t="s">
        <v>4439</v>
      </c>
      <c r="C600" s="116" t="s">
        <v>4581</v>
      </c>
      <c r="D600" s="123" t="s">
        <v>4634</v>
      </c>
      <c r="E600" s="123" t="s">
        <v>3409</v>
      </c>
      <c r="F600" s="123" t="s">
        <v>3409</v>
      </c>
      <c r="G600" s="123" t="s">
        <v>3409</v>
      </c>
    </row>
    <row r="601" spans="1:7" x14ac:dyDescent="0.25">
      <c r="A601" s="124" t="s">
        <v>4635</v>
      </c>
      <c r="B601" s="64" t="s">
        <v>4439</v>
      </c>
      <c r="C601" s="116" t="s">
        <v>4581</v>
      </c>
      <c r="D601" s="123" t="s">
        <v>4634</v>
      </c>
      <c r="E601" s="125" t="s">
        <v>4636</v>
      </c>
      <c r="F601" s="125" t="s">
        <v>3409</v>
      </c>
      <c r="G601" s="125" t="s">
        <v>3409</v>
      </c>
    </row>
    <row r="602" spans="1:7" x14ac:dyDescent="0.25">
      <c r="A602" s="68" t="s">
        <v>4637</v>
      </c>
      <c r="B602" s="64" t="s">
        <v>4439</v>
      </c>
      <c r="C602" s="116" t="s">
        <v>4581</v>
      </c>
      <c r="D602" s="123" t="s">
        <v>4634</v>
      </c>
      <c r="E602" s="125" t="s">
        <v>4636</v>
      </c>
      <c r="F602" s="69" t="s">
        <v>4638</v>
      </c>
      <c r="G602" s="117" t="s">
        <v>3409</v>
      </c>
    </row>
    <row r="603" spans="1:7" x14ac:dyDescent="0.2">
      <c r="A603" s="68" t="s">
        <v>4639</v>
      </c>
      <c r="B603" s="64" t="s">
        <v>4439</v>
      </c>
      <c r="C603" s="116" t="s">
        <v>4581</v>
      </c>
      <c r="D603" s="123" t="s">
        <v>4634</v>
      </c>
      <c r="E603" s="125" t="s">
        <v>4636</v>
      </c>
      <c r="F603" s="69" t="s">
        <v>4640</v>
      </c>
      <c r="G603" s="118" t="s">
        <v>3409</v>
      </c>
    </row>
    <row r="604" spans="1:7" x14ac:dyDescent="0.2">
      <c r="A604" s="68" t="s">
        <v>4641</v>
      </c>
      <c r="B604" s="64" t="s">
        <v>4439</v>
      </c>
      <c r="C604" s="116" t="s">
        <v>4581</v>
      </c>
      <c r="D604" s="123" t="s">
        <v>4634</v>
      </c>
      <c r="E604" s="125" t="s">
        <v>4636</v>
      </c>
      <c r="F604" s="69" t="s">
        <v>4642</v>
      </c>
      <c r="G604" s="118" t="s">
        <v>3409</v>
      </c>
    </row>
    <row r="605" spans="1:7" x14ac:dyDescent="0.25">
      <c r="A605" s="115" t="s">
        <v>4643</v>
      </c>
      <c r="B605" s="64" t="s">
        <v>4439</v>
      </c>
      <c r="C605" s="116" t="s">
        <v>4644</v>
      </c>
      <c r="D605" s="116" t="s">
        <v>3409</v>
      </c>
      <c r="E605" s="116" t="s">
        <v>3409</v>
      </c>
      <c r="F605" s="116" t="s">
        <v>3409</v>
      </c>
      <c r="G605" s="116" t="s">
        <v>3409</v>
      </c>
    </row>
    <row r="606" spans="1:7" x14ac:dyDescent="0.25">
      <c r="A606" s="122" t="s">
        <v>4645</v>
      </c>
      <c r="B606" s="64" t="s">
        <v>4439</v>
      </c>
      <c r="C606" s="116" t="s">
        <v>4644</v>
      </c>
      <c r="D606" s="123" t="s">
        <v>4646</v>
      </c>
      <c r="E606" s="123" t="s">
        <v>3409</v>
      </c>
      <c r="F606" s="123" t="s">
        <v>3409</v>
      </c>
      <c r="G606" s="123" t="s">
        <v>3409</v>
      </c>
    </row>
    <row r="607" spans="1:7" x14ac:dyDescent="0.25">
      <c r="A607" s="68" t="s">
        <v>4647</v>
      </c>
      <c r="B607" s="64" t="s">
        <v>4439</v>
      </c>
      <c r="C607" s="116" t="s">
        <v>4644</v>
      </c>
      <c r="D607" s="123" t="s">
        <v>4646</v>
      </c>
      <c r="E607" s="68" t="s">
        <v>4648</v>
      </c>
      <c r="F607" s="71" t="s">
        <v>3409</v>
      </c>
      <c r="G607" s="117" t="s">
        <v>3409</v>
      </c>
    </row>
    <row r="608" spans="1:7" x14ac:dyDescent="0.2">
      <c r="A608" s="68" t="s">
        <v>4649</v>
      </c>
      <c r="B608" s="64" t="s">
        <v>4439</v>
      </c>
      <c r="C608" s="116" t="s">
        <v>4644</v>
      </c>
      <c r="D608" s="123" t="s">
        <v>4646</v>
      </c>
      <c r="E608" s="68" t="s">
        <v>4650</v>
      </c>
      <c r="F608" s="70" t="s">
        <v>3409</v>
      </c>
      <c r="G608" s="118" t="s">
        <v>3409</v>
      </c>
    </row>
    <row r="609" spans="1:7" x14ac:dyDescent="0.25">
      <c r="A609" s="68" t="s">
        <v>4651</v>
      </c>
      <c r="B609" s="64" t="s">
        <v>4439</v>
      </c>
      <c r="C609" s="116" t="s">
        <v>4644</v>
      </c>
      <c r="D609" s="123" t="s">
        <v>4646</v>
      </c>
      <c r="E609" s="117" t="s">
        <v>3409</v>
      </c>
      <c r="F609" s="71" t="s">
        <v>3409</v>
      </c>
      <c r="G609" s="117" t="s">
        <v>3409</v>
      </c>
    </row>
    <row r="610" spans="1:7" x14ac:dyDescent="0.2">
      <c r="A610" s="68" t="s">
        <v>4652</v>
      </c>
      <c r="B610" s="64" t="s">
        <v>4439</v>
      </c>
      <c r="C610" s="116" t="s">
        <v>4644</v>
      </c>
      <c r="D610" s="123" t="s">
        <v>4646</v>
      </c>
      <c r="E610" s="118" t="s">
        <v>3409</v>
      </c>
      <c r="F610" s="70" t="s">
        <v>3409</v>
      </c>
      <c r="G610" s="118" t="s">
        <v>3409</v>
      </c>
    </row>
    <row r="611" spans="1:7" x14ac:dyDescent="0.25">
      <c r="A611" s="63" t="s">
        <v>4653</v>
      </c>
      <c r="B611" s="64" t="s">
        <v>4654</v>
      </c>
      <c r="C611" s="64" t="s">
        <v>3409</v>
      </c>
      <c r="D611" s="64" t="s">
        <v>3409</v>
      </c>
      <c r="E611" s="64" t="s">
        <v>3409</v>
      </c>
      <c r="F611" s="64" t="s">
        <v>3409</v>
      </c>
      <c r="G611" s="64" t="s">
        <v>3409</v>
      </c>
    </row>
    <row r="612" spans="1:7" x14ac:dyDescent="0.25">
      <c r="A612" s="115" t="s">
        <v>4655</v>
      </c>
      <c r="B612" s="64" t="s">
        <v>4654</v>
      </c>
      <c r="C612" s="116" t="s">
        <v>4656</v>
      </c>
      <c r="D612" s="116" t="s">
        <v>3409</v>
      </c>
      <c r="E612" s="116" t="s">
        <v>3409</v>
      </c>
      <c r="F612" s="116" t="s">
        <v>3409</v>
      </c>
      <c r="G612" s="116" t="s">
        <v>3409</v>
      </c>
    </row>
    <row r="613" spans="1:7" x14ac:dyDescent="0.25">
      <c r="A613" s="68" t="s">
        <v>4657</v>
      </c>
      <c r="B613" s="64" t="s">
        <v>4654</v>
      </c>
      <c r="C613" s="116" t="s">
        <v>4656</v>
      </c>
      <c r="D613" s="121" t="s">
        <v>4658</v>
      </c>
      <c r="E613" s="117" t="s">
        <v>3409</v>
      </c>
      <c r="F613" s="71" t="s">
        <v>3409</v>
      </c>
      <c r="G613" s="117" t="s">
        <v>3409</v>
      </c>
    </row>
    <row r="614" spans="1:7" x14ac:dyDescent="0.25">
      <c r="A614" s="68" t="s">
        <v>4659</v>
      </c>
      <c r="B614" s="64" t="s">
        <v>4654</v>
      </c>
      <c r="C614" s="116" t="s">
        <v>4656</v>
      </c>
      <c r="D614" s="68" t="s">
        <v>4660</v>
      </c>
      <c r="E614" s="117" t="s">
        <v>3409</v>
      </c>
      <c r="F614" s="71" t="s">
        <v>3409</v>
      </c>
      <c r="G614" s="117" t="s">
        <v>3409</v>
      </c>
    </row>
    <row r="615" spans="1:7" x14ac:dyDescent="0.2">
      <c r="A615" s="68" t="s">
        <v>4661</v>
      </c>
      <c r="B615" s="64" t="s">
        <v>4654</v>
      </c>
      <c r="C615" s="116" t="s">
        <v>4656</v>
      </c>
      <c r="D615" s="68" t="s">
        <v>4662</v>
      </c>
      <c r="E615" s="118" t="s">
        <v>3409</v>
      </c>
      <c r="F615" s="70" t="s">
        <v>3409</v>
      </c>
      <c r="G615" s="118" t="s">
        <v>3409</v>
      </c>
    </row>
    <row r="616" spans="1:7" x14ac:dyDescent="0.25">
      <c r="A616" s="63" t="s">
        <v>4663</v>
      </c>
      <c r="B616" s="64" t="s">
        <v>4664</v>
      </c>
      <c r="C616" s="64" t="s">
        <v>3409</v>
      </c>
      <c r="D616" s="64" t="s">
        <v>3409</v>
      </c>
      <c r="E616" s="64" t="s">
        <v>3409</v>
      </c>
      <c r="F616" s="64" t="s">
        <v>3409</v>
      </c>
      <c r="G616" s="64" t="s">
        <v>3409</v>
      </c>
    </row>
    <row r="617" spans="1:7" x14ac:dyDescent="0.25">
      <c r="A617" s="115" t="s">
        <v>4665</v>
      </c>
      <c r="B617" s="64" t="s">
        <v>4664</v>
      </c>
      <c r="C617" s="116" t="s">
        <v>2406</v>
      </c>
      <c r="D617" s="116" t="s">
        <v>3409</v>
      </c>
      <c r="E617" s="116" t="s">
        <v>3409</v>
      </c>
      <c r="F617" s="116" t="s">
        <v>3409</v>
      </c>
      <c r="G617" s="116" t="s">
        <v>3409</v>
      </c>
    </row>
    <row r="618" spans="1:7" x14ac:dyDescent="0.25">
      <c r="A618" s="122" t="s">
        <v>4666</v>
      </c>
      <c r="B618" s="64" t="s">
        <v>4664</v>
      </c>
      <c r="C618" s="116" t="s">
        <v>2406</v>
      </c>
      <c r="D618" s="123" t="s">
        <v>4667</v>
      </c>
      <c r="E618" s="123" t="s">
        <v>3409</v>
      </c>
      <c r="F618" s="123" t="s">
        <v>3409</v>
      </c>
      <c r="G618" s="123" t="s">
        <v>3409</v>
      </c>
    </row>
    <row r="619" spans="1:7" x14ac:dyDescent="0.25">
      <c r="A619" s="124" t="s">
        <v>4668</v>
      </c>
      <c r="B619" s="64" t="s">
        <v>4664</v>
      </c>
      <c r="C619" s="116" t="s">
        <v>2406</v>
      </c>
      <c r="D619" s="123" t="s">
        <v>4667</v>
      </c>
      <c r="E619" s="125" t="s">
        <v>2410</v>
      </c>
      <c r="F619" s="125" t="s">
        <v>3409</v>
      </c>
      <c r="G619" s="125" t="s">
        <v>3409</v>
      </c>
    </row>
    <row r="620" spans="1:7" x14ac:dyDescent="0.25">
      <c r="A620" s="68" t="s">
        <v>4669</v>
      </c>
      <c r="B620" s="64" t="s">
        <v>4664</v>
      </c>
      <c r="C620" s="116" t="s">
        <v>2406</v>
      </c>
      <c r="D620" s="123" t="s">
        <v>4667</v>
      </c>
      <c r="E620" s="125" t="s">
        <v>2410</v>
      </c>
      <c r="F620" s="73" t="s">
        <v>4670</v>
      </c>
      <c r="G620" s="117" t="s">
        <v>3409</v>
      </c>
    </row>
    <row r="621" spans="1:7" x14ac:dyDescent="0.25">
      <c r="A621" s="68" t="s">
        <v>4671</v>
      </c>
      <c r="B621" s="64" t="s">
        <v>4664</v>
      </c>
      <c r="C621" s="116" t="s">
        <v>2406</v>
      </c>
      <c r="D621" s="123" t="s">
        <v>4667</v>
      </c>
      <c r="E621" s="125" t="s">
        <v>2410</v>
      </c>
      <c r="F621" s="69" t="s">
        <v>4672</v>
      </c>
      <c r="G621" s="117" t="s">
        <v>3409</v>
      </c>
    </row>
    <row r="622" spans="1:7" x14ac:dyDescent="0.25">
      <c r="A622" s="68" t="s">
        <v>4673</v>
      </c>
      <c r="B622" s="64" t="s">
        <v>4664</v>
      </c>
      <c r="C622" s="116" t="s">
        <v>2406</v>
      </c>
      <c r="D622" s="123" t="s">
        <v>4667</v>
      </c>
      <c r="E622" s="125" t="s">
        <v>2410</v>
      </c>
      <c r="F622" s="73" t="s">
        <v>4674</v>
      </c>
      <c r="G622" s="117" t="s">
        <v>3409</v>
      </c>
    </row>
    <row r="623" spans="1:7" x14ac:dyDescent="0.2">
      <c r="A623" s="68" t="s">
        <v>4675</v>
      </c>
      <c r="B623" s="64" t="s">
        <v>4664</v>
      </c>
      <c r="C623" s="116" t="s">
        <v>2406</v>
      </c>
      <c r="D623" s="123" t="s">
        <v>4667</v>
      </c>
      <c r="E623" s="125" t="s">
        <v>2410</v>
      </c>
      <c r="F623" s="69" t="s">
        <v>4676</v>
      </c>
      <c r="G623" s="118" t="s">
        <v>3409</v>
      </c>
    </row>
    <row r="624" spans="1:7" x14ac:dyDescent="0.25">
      <c r="A624" s="68" t="s">
        <v>4677</v>
      </c>
      <c r="B624" s="64" t="s">
        <v>4664</v>
      </c>
      <c r="C624" s="116" t="s">
        <v>2406</v>
      </c>
      <c r="D624" s="123" t="s">
        <v>4667</v>
      </c>
      <c r="E624" s="125" t="s">
        <v>2410</v>
      </c>
      <c r="F624" s="73" t="s">
        <v>4678</v>
      </c>
      <c r="G624" s="117" t="s">
        <v>3409</v>
      </c>
    </row>
    <row r="625" spans="1:7" x14ac:dyDescent="0.25">
      <c r="A625" s="68" t="s">
        <v>4679</v>
      </c>
      <c r="B625" s="64" t="s">
        <v>4664</v>
      </c>
      <c r="C625" s="116" t="s">
        <v>2406</v>
      </c>
      <c r="D625" s="123" t="s">
        <v>4667</v>
      </c>
      <c r="E625" s="125" t="s">
        <v>2410</v>
      </c>
      <c r="F625" s="73" t="s">
        <v>4680</v>
      </c>
      <c r="G625" s="117" t="s">
        <v>3409</v>
      </c>
    </row>
    <row r="626" spans="1:7" x14ac:dyDescent="0.2">
      <c r="A626" s="68" t="s">
        <v>4681</v>
      </c>
      <c r="B626" s="64" t="s">
        <v>4664</v>
      </c>
      <c r="C626" s="116" t="s">
        <v>2406</v>
      </c>
      <c r="D626" s="123" t="s">
        <v>4667</v>
      </c>
      <c r="E626" s="125" t="s">
        <v>2410</v>
      </c>
      <c r="F626" s="69" t="s">
        <v>4682</v>
      </c>
      <c r="G626" s="118" t="s">
        <v>3409</v>
      </c>
    </row>
    <row r="627" spans="1:7" x14ac:dyDescent="0.25">
      <c r="A627" s="68" t="s">
        <v>4683</v>
      </c>
      <c r="B627" s="64" t="s">
        <v>4664</v>
      </c>
      <c r="C627" s="116" t="s">
        <v>2406</v>
      </c>
      <c r="D627" s="123" t="s">
        <v>4667</v>
      </c>
      <c r="E627" s="125" t="s">
        <v>2410</v>
      </c>
      <c r="F627" s="69" t="s">
        <v>4684</v>
      </c>
      <c r="G627" s="117" t="s">
        <v>3409</v>
      </c>
    </row>
    <row r="628" spans="1:7" x14ac:dyDescent="0.25">
      <c r="A628" s="124" t="s">
        <v>4685</v>
      </c>
      <c r="B628" s="64" t="s">
        <v>4664</v>
      </c>
      <c r="C628" s="116" t="s">
        <v>2406</v>
      </c>
      <c r="D628" s="123" t="s">
        <v>4667</v>
      </c>
      <c r="E628" s="125" t="s">
        <v>2413</v>
      </c>
      <c r="F628" s="125" t="s">
        <v>3409</v>
      </c>
      <c r="G628" s="125" t="s">
        <v>3409</v>
      </c>
    </row>
    <row r="629" spans="1:7" x14ac:dyDescent="0.25">
      <c r="A629" s="68" t="s">
        <v>4686</v>
      </c>
      <c r="B629" s="64" t="s">
        <v>4664</v>
      </c>
      <c r="C629" s="116" t="s">
        <v>2406</v>
      </c>
      <c r="D629" s="123" t="s">
        <v>4667</v>
      </c>
      <c r="E629" s="125" t="s">
        <v>2413</v>
      </c>
      <c r="F629" s="69" t="s">
        <v>4687</v>
      </c>
      <c r="G629" s="117" t="s">
        <v>3409</v>
      </c>
    </row>
    <row r="630" spans="1:7" x14ac:dyDescent="0.2">
      <c r="A630" s="68" t="s">
        <v>4688</v>
      </c>
      <c r="B630" s="64" t="s">
        <v>4664</v>
      </c>
      <c r="C630" s="116" t="s">
        <v>2406</v>
      </c>
      <c r="D630" s="123" t="s">
        <v>4667</v>
      </c>
      <c r="E630" s="125" t="s">
        <v>2413</v>
      </c>
      <c r="F630" s="69" t="s">
        <v>4689</v>
      </c>
      <c r="G630" s="118" t="s">
        <v>3409</v>
      </c>
    </row>
    <row r="631" spans="1:7" x14ac:dyDescent="0.25">
      <c r="A631" s="68" t="s">
        <v>4690</v>
      </c>
      <c r="B631" s="64" t="s">
        <v>4664</v>
      </c>
      <c r="C631" s="116" t="s">
        <v>2406</v>
      </c>
      <c r="D631" s="123" t="s">
        <v>4667</v>
      </c>
      <c r="E631" s="125" t="s">
        <v>2413</v>
      </c>
      <c r="F631" s="69" t="s">
        <v>4691</v>
      </c>
      <c r="G631" s="117" t="s">
        <v>3409</v>
      </c>
    </row>
    <row r="632" spans="1:7" x14ac:dyDescent="0.25">
      <c r="A632" s="68" t="s">
        <v>4692</v>
      </c>
      <c r="B632" s="64" t="s">
        <v>4664</v>
      </c>
      <c r="C632" s="116" t="s">
        <v>2406</v>
      </c>
      <c r="D632" s="123" t="s">
        <v>4667</v>
      </c>
      <c r="E632" s="125" t="s">
        <v>2413</v>
      </c>
      <c r="F632" s="69" t="s">
        <v>4693</v>
      </c>
      <c r="G632" s="117" t="s">
        <v>3409</v>
      </c>
    </row>
    <row r="633" spans="1:7" x14ac:dyDescent="0.25">
      <c r="A633" s="68" t="s">
        <v>4694</v>
      </c>
      <c r="B633" s="64" t="s">
        <v>4664</v>
      </c>
      <c r="C633" s="116" t="s">
        <v>2406</v>
      </c>
      <c r="D633" s="123" t="s">
        <v>4667</v>
      </c>
      <c r="E633" s="125" t="s">
        <v>2413</v>
      </c>
      <c r="F633" s="69" t="s">
        <v>4695</v>
      </c>
      <c r="G633" s="117" t="s">
        <v>3409</v>
      </c>
    </row>
    <row r="634" spans="1:7" x14ac:dyDescent="0.25">
      <c r="A634" s="68" t="s">
        <v>4696</v>
      </c>
      <c r="B634" s="64" t="s">
        <v>4664</v>
      </c>
      <c r="C634" s="116" t="s">
        <v>2406</v>
      </c>
      <c r="D634" s="123" t="s">
        <v>4667</v>
      </c>
      <c r="E634" s="125" t="s">
        <v>2413</v>
      </c>
      <c r="F634" s="69" t="s">
        <v>4697</v>
      </c>
      <c r="G634" s="117" t="s">
        <v>3409</v>
      </c>
    </row>
    <row r="635" spans="1:7" x14ac:dyDescent="0.25">
      <c r="A635" s="68" t="s">
        <v>4698</v>
      </c>
      <c r="B635" s="64" t="s">
        <v>4664</v>
      </c>
      <c r="C635" s="116" t="s">
        <v>2406</v>
      </c>
      <c r="D635" s="123" t="s">
        <v>4667</v>
      </c>
      <c r="E635" s="125" t="s">
        <v>2413</v>
      </c>
      <c r="F635" s="137" t="s">
        <v>4699</v>
      </c>
      <c r="G635" s="117" t="s">
        <v>3409</v>
      </c>
    </row>
    <row r="636" spans="1:7" x14ac:dyDescent="0.2">
      <c r="A636" s="68" t="s">
        <v>4700</v>
      </c>
      <c r="B636" s="64" t="s">
        <v>4664</v>
      </c>
      <c r="C636" s="116" t="s">
        <v>2406</v>
      </c>
      <c r="D636" s="123" t="s">
        <v>4667</v>
      </c>
      <c r="E636" s="68" t="s">
        <v>4701</v>
      </c>
      <c r="F636" s="70" t="s">
        <v>3409</v>
      </c>
      <c r="G636" s="118" t="s">
        <v>3409</v>
      </c>
    </row>
    <row r="637" spans="1:7" x14ac:dyDescent="0.25">
      <c r="A637" s="68" t="s">
        <v>4702</v>
      </c>
      <c r="B637" s="64" t="s">
        <v>4664</v>
      </c>
      <c r="C637" s="116" t="s">
        <v>2406</v>
      </c>
      <c r="D637" s="123" t="s">
        <v>4667</v>
      </c>
      <c r="E637" s="68" t="s">
        <v>4703</v>
      </c>
      <c r="F637" s="71" t="s">
        <v>3409</v>
      </c>
      <c r="G637" s="117" t="s">
        <v>3409</v>
      </c>
    </row>
    <row r="638" spans="1:7" x14ac:dyDescent="0.25">
      <c r="A638" s="122" t="s">
        <v>4704</v>
      </c>
      <c r="B638" s="64" t="s">
        <v>4664</v>
      </c>
      <c r="C638" s="116" t="s">
        <v>2406</v>
      </c>
      <c r="D638" s="123" t="s">
        <v>2415</v>
      </c>
      <c r="E638" s="123" t="s">
        <v>3409</v>
      </c>
      <c r="F638" s="123" t="s">
        <v>3409</v>
      </c>
      <c r="G638" s="123" t="s">
        <v>3409</v>
      </c>
    </row>
    <row r="639" spans="1:7" x14ac:dyDescent="0.25">
      <c r="A639" s="68" t="s">
        <v>4705</v>
      </c>
      <c r="B639" s="64" t="s">
        <v>4664</v>
      </c>
      <c r="C639" s="116" t="s">
        <v>2406</v>
      </c>
      <c r="D639" s="123" t="s">
        <v>2415</v>
      </c>
      <c r="E639" s="68" t="s">
        <v>4706</v>
      </c>
      <c r="F639" s="71" t="s">
        <v>3409</v>
      </c>
      <c r="G639" s="117" t="s">
        <v>3409</v>
      </c>
    </row>
    <row r="640" spans="1:7" x14ac:dyDescent="0.2">
      <c r="A640" s="68" t="s">
        <v>4707</v>
      </c>
      <c r="B640" s="64" t="s">
        <v>4664</v>
      </c>
      <c r="C640" s="116" t="s">
        <v>2406</v>
      </c>
      <c r="D640" s="123" t="s">
        <v>2415</v>
      </c>
      <c r="E640" s="68" t="s">
        <v>4708</v>
      </c>
      <c r="F640" s="70" t="s">
        <v>3409</v>
      </c>
      <c r="G640" s="118" t="s">
        <v>3409</v>
      </c>
    </row>
    <row r="641" spans="1:7" x14ac:dyDescent="0.25">
      <c r="A641" s="68" t="s">
        <v>4709</v>
      </c>
      <c r="B641" s="64" t="s">
        <v>4664</v>
      </c>
      <c r="C641" s="116" t="s">
        <v>2406</v>
      </c>
      <c r="D641" s="123" t="s">
        <v>2415</v>
      </c>
      <c r="E641" s="68" t="s">
        <v>4710</v>
      </c>
      <c r="F641" s="71" t="s">
        <v>3409</v>
      </c>
      <c r="G641" s="117" t="s">
        <v>3409</v>
      </c>
    </row>
    <row r="642" spans="1:7" x14ac:dyDescent="0.25">
      <c r="A642" s="68" t="s">
        <v>4711</v>
      </c>
      <c r="B642" s="64" t="s">
        <v>4664</v>
      </c>
      <c r="C642" s="116" t="s">
        <v>2406</v>
      </c>
      <c r="D642" s="123" t="s">
        <v>2415</v>
      </c>
      <c r="E642" s="121" t="s">
        <v>4712</v>
      </c>
      <c r="F642" s="71" t="s">
        <v>3409</v>
      </c>
      <c r="G642" s="117" t="s">
        <v>3409</v>
      </c>
    </row>
    <row r="643" spans="1:7" x14ac:dyDescent="0.25">
      <c r="A643" s="68" t="s">
        <v>4713</v>
      </c>
      <c r="B643" s="64" t="s">
        <v>4664</v>
      </c>
      <c r="C643" s="116" t="s">
        <v>2406</v>
      </c>
      <c r="D643" s="123" t="s">
        <v>2415</v>
      </c>
      <c r="E643" s="121" t="s">
        <v>4714</v>
      </c>
      <c r="F643" s="71" t="s">
        <v>3409</v>
      </c>
      <c r="G643" s="117" t="s">
        <v>3409</v>
      </c>
    </row>
    <row r="644" spans="1:7" x14ac:dyDescent="0.25">
      <c r="A644" s="68" t="s">
        <v>4715</v>
      </c>
      <c r="B644" s="64" t="s">
        <v>4664</v>
      </c>
      <c r="C644" s="116" t="s">
        <v>2406</v>
      </c>
      <c r="D644" s="123" t="s">
        <v>2415</v>
      </c>
      <c r="E644" s="121" t="s">
        <v>4716</v>
      </c>
      <c r="F644" s="71" t="s">
        <v>3409</v>
      </c>
      <c r="G644" s="117" t="s">
        <v>3409</v>
      </c>
    </row>
    <row r="645" spans="1:7" x14ac:dyDescent="0.25">
      <c r="A645" s="68" t="s">
        <v>4717</v>
      </c>
      <c r="B645" s="64" t="s">
        <v>4664</v>
      </c>
      <c r="C645" s="116" t="s">
        <v>2406</v>
      </c>
      <c r="D645" s="123" t="s">
        <v>2415</v>
      </c>
      <c r="E645" s="68" t="s">
        <v>4718</v>
      </c>
      <c r="F645" s="71" t="s">
        <v>3409</v>
      </c>
      <c r="G645" s="117" t="s">
        <v>3409</v>
      </c>
    </row>
    <row r="646" spans="1:7" x14ac:dyDescent="0.2">
      <c r="A646" s="68" t="s">
        <v>4719</v>
      </c>
      <c r="B646" s="64" t="s">
        <v>4664</v>
      </c>
      <c r="C646" s="116" t="s">
        <v>2406</v>
      </c>
      <c r="D646" s="123" t="s">
        <v>2415</v>
      </c>
      <c r="E646" s="68" t="s">
        <v>4720</v>
      </c>
      <c r="F646" s="70" t="s">
        <v>3409</v>
      </c>
      <c r="G646" s="118" t="s">
        <v>3409</v>
      </c>
    </row>
    <row r="647" spans="1:7" x14ac:dyDescent="0.25">
      <c r="A647" s="68" t="s">
        <v>4721</v>
      </c>
      <c r="B647" s="64" t="s">
        <v>4664</v>
      </c>
      <c r="C647" s="116" t="s">
        <v>2406</v>
      </c>
      <c r="D647" s="123" t="s">
        <v>2415</v>
      </c>
      <c r="E647" s="68" t="s">
        <v>4722</v>
      </c>
      <c r="F647" s="71" t="s">
        <v>3409</v>
      </c>
      <c r="G647" s="117" t="s">
        <v>3409</v>
      </c>
    </row>
    <row r="648" spans="1:7" x14ac:dyDescent="0.25">
      <c r="A648" s="68" t="s">
        <v>4723</v>
      </c>
      <c r="B648" s="64" t="s">
        <v>4664</v>
      </c>
      <c r="C648" s="116" t="s">
        <v>2406</v>
      </c>
      <c r="D648" s="123" t="s">
        <v>2415</v>
      </c>
      <c r="E648" s="68" t="s">
        <v>4724</v>
      </c>
      <c r="F648" s="71" t="s">
        <v>3409</v>
      </c>
      <c r="G648" s="117" t="s">
        <v>3409</v>
      </c>
    </row>
    <row r="649" spans="1:7" x14ac:dyDescent="0.2">
      <c r="A649" s="68" t="s">
        <v>4725</v>
      </c>
      <c r="B649" s="64" t="s">
        <v>4664</v>
      </c>
      <c r="C649" s="116" t="s">
        <v>2406</v>
      </c>
      <c r="D649" s="123" t="s">
        <v>2415</v>
      </c>
      <c r="E649" s="68" t="s">
        <v>4726</v>
      </c>
      <c r="F649" s="70" t="s">
        <v>3409</v>
      </c>
      <c r="G649" s="118" t="s">
        <v>3409</v>
      </c>
    </row>
    <row r="650" spans="1:7" x14ac:dyDescent="0.25">
      <c r="A650" s="68" t="s">
        <v>4727</v>
      </c>
      <c r="B650" s="64" t="s">
        <v>4664</v>
      </c>
      <c r="C650" s="116" t="s">
        <v>2406</v>
      </c>
      <c r="D650" s="123" t="s">
        <v>2415</v>
      </c>
      <c r="E650" s="68" t="s">
        <v>4728</v>
      </c>
      <c r="F650" s="71" t="s">
        <v>3409</v>
      </c>
      <c r="G650" s="117" t="s">
        <v>3409</v>
      </c>
    </row>
    <row r="651" spans="1:7" x14ac:dyDescent="0.2">
      <c r="A651" s="68" t="s">
        <v>4729</v>
      </c>
      <c r="B651" s="64" t="s">
        <v>4664</v>
      </c>
      <c r="C651" s="116" t="s">
        <v>2406</v>
      </c>
      <c r="D651" s="123" t="s">
        <v>2415</v>
      </c>
      <c r="E651" s="68" t="s">
        <v>4730</v>
      </c>
      <c r="F651" s="70" t="s">
        <v>3409</v>
      </c>
      <c r="G651" s="118" t="s">
        <v>3409</v>
      </c>
    </row>
    <row r="652" spans="1:7" x14ac:dyDescent="0.25">
      <c r="A652" s="115" t="s">
        <v>4731</v>
      </c>
      <c r="B652" s="64" t="s">
        <v>4664</v>
      </c>
      <c r="C652" s="116" t="s">
        <v>4732</v>
      </c>
      <c r="D652" s="116" t="s">
        <v>3409</v>
      </c>
      <c r="E652" s="116" t="s">
        <v>3409</v>
      </c>
      <c r="F652" s="116" t="s">
        <v>3409</v>
      </c>
      <c r="G652" s="116" t="s">
        <v>3409</v>
      </c>
    </row>
    <row r="653" spans="1:7" x14ac:dyDescent="0.25">
      <c r="A653" s="122" t="s">
        <v>4733</v>
      </c>
      <c r="B653" s="64" t="s">
        <v>4664</v>
      </c>
      <c r="C653" s="116" t="s">
        <v>4732</v>
      </c>
      <c r="D653" s="123" t="s">
        <v>4734</v>
      </c>
      <c r="E653" s="123" t="s">
        <v>3409</v>
      </c>
      <c r="F653" s="123" t="s">
        <v>3409</v>
      </c>
      <c r="G653" s="123" t="s">
        <v>3409</v>
      </c>
    </row>
    <row r="654" spans="1:7" x14ac:dyDescent="0.25">
      <c r="A654" s="124" t="s">
        <v>4735</v>
      </c>
      <c r="B654" s="64" t="s">
        <v>4664</v>
      </c>
      <c r="C654" s="116" t="s">
        <v>4732</v>
      </c>
      <c r="D654" s="123" t="s">
        <v>4734</v>
      </c>
      <c r="E654" s="125" t="s">
        <v>4736</v>
      </c>
      <c r="F654" s="125" t="s">
        <v>3409</v>
      </c>
      <c r="G654" s="125" t="s">
        <v>3409</v>
      </c>
    </row>
    <row r="655" spans="1:7" x14ac:dyDescent="0.2">
      <c r="A655" s="68" t="s">
        <v>4737</v>
      </c>
      <c r="B655" s="64" t="s">
        <v>4664</v>
      </c>
      <c r="C655" s="116" t="s">
        <v>4732</v>
      </c>
      <c r="D655" s="123" t="s">
        <v>4734</v>
      </c>
      <c r="E655" s="125" t="s">
        <v>4736</v>
      </c>
      <c r="F655" s="69" t="s">
        <v>4738</v>
      </c>
      <c r="G655" s="118" t="s">
        <v>3409</v>
      </c>
    </row>
    <row r="656" spans="1:7" x14ac:dyDescent="0.2">
      <c r="A656" s="68" t="s">
        <v>4739</v>
      </c>
      <c r="B656" s="64" t="s">
        <v>4664</v>
      </c>
      <c r="C656" s="116" t="s">
        <v>4732</v>
      </c>
      <c r="D656" s="123" t="s">
        <v>4734</v>
      </c>
      <c r="E656" s="125" t="s">
        <v>4736</v>
      </c>
      <c r="F656" s="69" t="s">
        <v>4740</v>
      </c>
      <c r="G656" s="118" t="s">
        <v>3409</v>
      </c>
    </row>
  </sheetData>
  <autoFilter ref="A2:G2" xr:uid="{498AACCB-7506-4FC3-B763-ECA47867D548}"/>
  <mergeCells count="1">
    <mergeCell ref="A1:G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</vt:lpstr>
      <vt:lpstr>СТ_Эл.</vt:lpstr>
      <vt:lpstr>СТ_Атр.</vt:lpstr>
      <vt:lpstr>СТ_Наб.Атр.</vt:lpstr>
      <vt:lpstr>СТ_Наб.Атр (кратко)</vt:lpstr>
      <vt:lpstr>СТ_МССК</vt:lpstr>
      <vt:lpstr>МССК_СВОД</vt:lpstr>
      <vt:lpstr>МССК-5 (Пом.)</vt:lpstr>
      <vt:lpstr>МССК-7 (Эл.)</vt:lpstr>
      <vt:lpstr>МССК-8 (Мат.)</vt:lpstr>
    </vt:vector>
  </TitlesOfParts>
  <Company>АРИАДА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Федоров</dc:creator>
  <cp:lastModifiedBy>Александр Федоров</cp:lastModifiedBy>
  <dcterms:created xsi:type="dcterms:W3CDTF">2026-03-04T13:17:02Z</dcterms:created>
  <dcterms:modified xsi:type="dcterms:W3CDTF">2026-04-17T14:19:06Z</dcterms:modified>
</cp:coreProperties>
</file>